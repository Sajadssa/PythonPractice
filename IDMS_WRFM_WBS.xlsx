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epher_Pasargad\works\Maintenace\PythonDataAnalysis\PythonPractice\"/>
    </mc:Choice>
  </mc:AlternateContent>
  <xr:revisionPtr revIDLastSave="0" documentId="13_ncr:1_{7364FD56-C336-4F4F-9535-3E9D45C70490}" xr6:coauthVersionLast="47" xr6:coauthVersionMax="47" xr10:uidLastSave="{00000000-0000-0000-0000-000000000000}"/>
  <bookViews>
    <workbookView xWindow="16920" yWindow="0" windowWidth="11985" windowHeight="15585" xr2:uid="{00000000-000D-0000-FFFF-FFFF00000000}"/>
  </bookViews>
  <sheets>
    <sheet name="WB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</calcChain>
</file>

<file path=xl/sharedStrings.xml><?xml version="1.0" encoding="utf-8"?>
<sst xmlns="http://schemas.openxmlformats.org/spreadsheetml/2006/main" count="602" uniqueCount="287">
  <si>
    <t>Task_ID</t>
  </si>
  <si>
    <t>Phase</t>
  </si>
  <si>
    <t>Task_Name</t>
  </si>
  <si>
    <t>Description</t>
  </si>
  <si>
    <t>Dependencies</t>
  </si>
  <si>
    <t>Duration_Hours</t>
  </si>
  <si>
    <t>Priority</t>
  </si>
  <si>
    <t>Status</t>
  </si>
  <si>
    <t>Start_Date</t>
  </si>
  <si>
    <t>End_Date</t>
  </si>
  <si>
    <t>Assigned_To</t>
  </si>
  <si>
    <t>Notes</t>
  </si>
  <si>
    <t>Completion_%</t>
  </si>
  <si>
    <t>0.0</t>
  </si>
  <si>
    <t>Setup</t>
  </si>
  <si>
    <t>Project Initialization</t>
  </si>
  <si>
    <t>راه‌اندازی اولیه پروژه</t>
  </si>
  <si>
    <t>-</t>
  </si>
  <si>
    <t>Critical</t>
  </si>
  <si>
    <t>Pending</t>
  </si>
  <si>
    <t>0.1</t>
  </si>
  <si>
    <t>Install Docker Desktop</t>
  </si>
  <si>
    <t>نصب و کانفیگ Docker</t>
  </si>
  <si>
    <t>0.2</t>
  </si>
  <si>
    <t>Clean Old Files</t>
  </si>
  <si>
    <t>حذف فایل‌های قدیمی</t>
  </si>
  <si>
    <t>High</t>
  </si>
  <si>
    <t>1.0</t>
  </si>
  <si>
    <t>Infrastructure</t>
  </si>
  <si>
    <t>Create Base Structure</t>
  </si>
  <si>
    <t>ایجاد ساختار پوشه‌بندی</t>
  </si>
  <si>
    <t>1.1</t>
  </si>
  <si>
    <t>Docker Compose - Base</t>
  </si>
  <si>
    <t>ایجاد docker-compose.yml پایه</t>
  </si>
  <si>
    <t>1.2</t>
  </si>
  <si>
    <t>Environment Variables</t>
  </si>
  <si>
    <t>ساخت .env و .env.example</t>
  </si>
  <si>
    <t>1.3</t>
  </si>
  <si>
    <t>PostgreSQL Service</t>
  </si>
  <si>
    <t>کانفیگ PostgreSQL در Docker</t>
  </si>
  <si>
    <t>1.4</t>
  </si>
  <si>
    <t>Redis Service</t>
  </si>
  <si>
    <t>کانفیگ Redis در Docker</t>
  </si>
  <si>
    <t>Medium</t>
  </si>
  <si>
    <t>1.5</t>
  </si>
  <si>
    <t>Network Configuration</t>
  </si>
  <si>
    <t>راه‌اندازی Docker networks</t>
  </si>
  <si>
    <t>1.6</t>
  </si>
  <si>
    <t>Volume Configuration</t>
  </si>
  <si>
    <t>کانفیگ persistent volumes</t>
  </si>
  <si>
    <t>1.7</t>
  </si>
  <si>
    <t>Test Infrastructure</t>
  </si>
  <si>
    <t>تست اتصالات و سرویس‌ها</t>
  </si>
  <si>
    <t>2.0</t>
  </si>
  <si>
    <t>Backend</t>
  </si>
  <si>
    <t>Backend Dockerfile</t>
  </si>
  <si>
    <t>ساخت Dockerfile برای FastAPI</t>
  </si>
  <si>
    <t>2.1</t>
  </si>
  <si>
    <t>Requirements File</t>
  </si>
  <si>
    <t>لیست dependencies پایتون</t>
  </si>
  <si>
    <t>2.2</t>
  </si>
  <si>
    <t>FastAPI Structure</t>
  </si>
  <si>
    <t>ساختار اولیه FastAPI app</t>
  </si>
  <si>
    <t>2.3</t>
  </si>
  <si>
    <t>Database Configuration</t>
  </si>
  <si>
    <t>کانفیگ SQLAlchemy + Alembic</t>
  </si>
  <si>
    <t>2.4</t>
  </si>
  <si>
    <t>Base Models</t>
  </si>
  <si>
    <t>ساخت Base و Mixins برای Models</t>
  </si>
  <si>
    <t>2.5</t>
  </si>
  <si>
    <t>Authentication System</t>
  </si>
  <si>
    <t>JWT + OAuth2</t>
  </si>
  <si>
    <t>2.6</t>
  </si>
  <si>
    <t>User Management</t>
  </si>
  <si>
    <t>CRUD کاربران</t>
  </si>
  <si>
    <t>2.7</t>
  </si>
  <si>
    <t>RFI Models</t>
  </si>
  <si>
    <t>Models مربوط به RFI</t>
  </si>
  <si>
    <t>2.8</t>
  </si>
  <si>
    <t>RFI CRUD Operations</t>
  </si>
  <si>
    <t>ایجاد/ویرایش/حذف RFI</t>
  </si>
  <si>
    <t>2.9</t>
  </si>
  <si>
    <t>Response Models</t>
  </si>
  <si>
    <t>Models پاسخ‌ها</t>
  </si>
  <si>
    <t>2.10</t>
  </si>
  <si>
    <t>Response CRUD</t>
  </si>
  <si>
    <t>مدیریت پاسخ‌ها</t>
  </si>
  <si>
    <t>2.11</t>
  </si>
  <si>
    <t>File Upload Service</t>
  </si>
  <si>
    <t>آپلود فایل‌های ضمیمه</t>
  </si>
  <si>
    <t>2.12</t>
  </si>
  <si>
    <t>Search &amp; Filter</t>
  </si>
  <si>
    <t>جستجو و فیلتر پیشرفته</t>
  </si>
  <si>
    <t>2.13</t>
  </si>
  <si>
    <t>Pagination Service</t>
  </si>
  <si>
    <t>صفحه‌بندی داده‌ها</t>
  </si>
  <si>
    <t>2.14</t>
  </si>
  <si>
    <t>Validation Layer</t>
  </si>
  <si>
    <t>اعتبارسنجی داده‌ها</t>
  </si>
  <si>
    <t>2.15</t>
  </si>
  <si>
    <t>Error Handling</t>
  </si>
  <si>
    <t>مدیریت خطاها</t>
  </si>
  <si>
    <t>2.16</t>
  </si>
  <si>
    <t>Logging System</t>
  </si>
  <si>
    <t>سیستم لاگ</t>
  </si>
  <si>
    <t>2.17</t>
  </si>
  <si>
    <t>API Documentation</t>
  </si>
  <si>
    <t>مستندسازی Swagger</t>
  </si>
  <si>
    <t>Low</t>
  </si>
  <si>
    <t>2.18</t>
  </si>
  <si>
    <t>Unit Tests</t>
  </si>
  <si>
    <t>تست‌های واحد</t>
  </si>
  <si>
    <t>2.19</t>
  </si>
  <si>
    <t>Backend Integration</t>
  </si>
  <si>
    <t>تست یکپارچه‌سازی</t>
  </si>
  <si>
    <t>3.0</t>
  </si>
  <si>
    <t>Frontend</t>
  </si>
  <si>
    <t>Frontend Dockerfile</t>
  </si>
  <si>
    <t>ساخت Dockerfile برای Next.js</t>
  </si>
  <si>
    <t>3.1</t>
  </si>
  <si>
    <t>Next.js Base Setup</t>
  </si>
  <si>
    <t>راه‌اندازی اولیه Next.js</t>
  </si>
  <si>
    <t>3.2</t>
  </si>
  <si>
    <t>Tailwind Configuration</t>
  </si>
  <si>
    <t>کانفیگ Tailwind CSS</t>
  </si>
  <si>
    <t>3.3</t>
  </si>
  <si>
    <t>TypeScript Setup</t>
  </si>
  <si>
    <t>تنظیمات TypeScript</t>
  </si>
  <si>
    <t>3.4</t>
  </si>
  <si>
    <t>Folder Structure</t>
  </si>
  <si>
    <t>ساختار پوشه‌های frontend</t>
  </si>
  <si>
    <t>3.5</t>
  </si>
  <si>
    <t>API Service Layer</t>
  </si>
  <si>
    <t>سرویس HTTP با Axios</t>
  </si>
  <si>
    <t>3.6</t>
  </si>
  <si>
    <t>Auth Context</t>
  </si>
  <si>
    <t>Context مدیریت Authentication</t>
  </si>
  <si>
    <t>3.7</t>
  </si>
  <si>
    <t>RFI Context</t>
  </si>
  <si>
    <t>Context مدیریت RFI</t>
  </si>
  <si>
    <t>3.8</t>
  </si>
  <si>
    <t>UI Components - Base</t>
  </si>
  <si>
    <t>کامپوننت‌های پایه</t>
  </si>
  <si>
    <t>3.9</t>
  </si>
  <si>
    <t>Layout Components</t>
  </si>
  <si>
    <t>Header/Sidebar/Footer</t>
  </si>
  <si>
    <t>3.10</t>
  </si>
  <si>
    <t>Login Page</t>
  </si>
  <si>
    <t>صفحه ورود</t>
  </si>
  <si>
    <t>3.11</t>
  </si>
  <si>
    <t>Dashboard Page</t>
  </si>
  <si>
    <t>داشبورد اصلی</t>
  </si>
  <si>
    <t>3.12</t>
  </si>
  <si>
    <t>RFI List Page</t>
  </si>
  <si>
    <t>لیست RFI با جدول</t>
  </si>
  <si>
    <t>3.13</t>
  </si>
  <si>
    <t>RFI Form</t>
  </si>
  <si>
    <t>فرم ایجاد/ویرایش RFI</t>
  </si>
  <si>
    <t>3.14</t>
  </si>
  <si>
    <t>RFI Detail Page</t>
  </si>
  <si>
    <t>جزئیات RFI</t>
  </si>
  <si>
    <t>3.15</t>
  </si>
  <si>
    <t>Response List</t>
  </si>
  <si>
    <t>لیست پاسخ‌ها</t>
  </si>
  <si>
    <t>3.16</t>
  </si>
  <si>
    <t>Response Form</t>
  </si>
  <si>
    <t>فرم ثبت پاسخ</t>
  </si>
  <si>
    <t>3.17</t>
  </si>
  <si>
    <t>Search Component</t>
  </si>
  <si>
    <t>جستجوی پیشرفته</t>
  </si>
  <si>
    <t>3.18</t>
  </si>
  <si>
    <t>Filter Component</t>
  </si>
  <si>
    <t>فیلترهای چندگانه</t>
  </si>
  <si>
    <t>3.19</t>
  </si>
  <si>
    <t>Pagination Component</t>
  </si>
  <si>
    <t>کامپوننت صفحه‌بندی</t>
  </si>
  <si>
    <t>3.20</t>
  </si>
  <si>
    <t>File Upload Component</t>
  </si>
  <si>
    <t>آپلود فایل</t>
  </si>
  <si>
    <t>3.21</t>
  </si>
  <si>
    <t>Notification System</t>
  </si>
  <si>
    <t>سیستم اعلان‌ها</t>
  </si>
  <si>
    <t>3.22</t>
  </si>
  <si>
    <t>Loading States</t>
  </si>
  <si>
    <t>حالت‌های بارگذاری</t>
  </si>
  <si>
    <t>3.23</t>
  </si>
  <si>
    <t>Error Boundaries</t>
  </si>
  <si>
    <t>مدیریت خطاها در UI</t>
  </si>
  <si>
    <t>3.24</t>
  </si>
  <si>
    <t>Responsive Design</t>
  </si>
  <si>
    <t>بهینه‌سازی موبایل</t>
  </si>
  <si>
    <t>3.25</t>
  </si>
  <si>
    <t>Frontend Tests</t>
  </si>
  <si>
    <t>تست‌های کامپوننت</t>
  </si>
  <si>
    <t>4.0</t>
  </si>
  <si>
    <t>Integration</t>
  </si>
  <si>
    <t>API Integration</t>
  </si>
  <si>
    <t>اتصال Frontend به Backend</t>
  </si>
  <si>
    <t>4.1</t>
  </si>
  <si>
    <t>Authentication Flow</t>
  </si>
  <si>
    <t>تست فرآیند احراز هویت</t>
  </si>
  <si>
    <t>4.2</t>
  </si>
  <si>
    <t>CRUD Operations Test</t>
  </si>
  <si>
    <t>تست عملیات CRUD</t>
  </si>
  <si>
    <t>4.3</t>
  </si>
  <si>
    <t>File Upload Test</t>
  </si>
  <si>
    <t>تست آپلود فایل</t>
  </si>
  <si>
    <t>4.4</t>
  </si>
  <si>
    <t>Search &amp; Filter Test</t>
  </si>
  <si>
    <t>تست جستجو و فیلتر</t>
  </si>
  <si>
    <t>4.5</t>
  </si>
  <si>
    <t>Error Handling Test</t>
  </si>
  <si>
    <t>تست مدیریت خطا</t>
  </si>
  <si>
    <t>5.0</t>
  </si>
  <si>
    <t>DevOps</t>
  </si>
  <si>
    <t>Nginx Configuration</t>
  </si>
  <si>
    <t>کانفیگ Nginx</t>
  </si>
  <si>
    <t>5.1</t>
  </si>
  <si>
    <t>Multi-stage Builds</t>
  </si>
  <si>
    <t>بهینه‌سازی Dockerfiles</t>
  </si>
  <si>
    <t>5.2</t>
  </si>
  <si>
    <t>Docker Compose - Production</t>
  </si>
  <si>
    <t>کانفیگ production</t>
  </si>
  <si>
    <t>5.3</t>
  </si>
  <si>
    <t>Health Checks</t>
  </si>
  <si>
    <t>تست سلامت سرویس‌ها</t>
  </si>
  <si>
    <t>5.4</t>
  </si>
  <si>
    <t>Backup Strategy</t>
  </si>
  <si>
    <t>استراتژی پشتیبان‌گیری</t>
  </si>
  <si>
    <t>5.5</t>
  </si>
  <si>
    <t>Monitoring Setup</t>
  </si>
  <si>
    <t>راه‌اندازی مانیتورینگ</t>
  </si>
  <si>
    <t>5.6</t>
  </si>
  <si>
    <t>CI/CD Pipeline</t>
  </si>
  <si>
    <t>خط لوله CI/CD</t>
  </si>
  <si>
    <t>6.0</t>
  </si>
  <si>
    <t>Documentation</t>
  </si>
  <si>
    <t>Technical Documentation</t>
  </si>
  <si>
    <t>مستندات فنی</t>
  </si>
  <si>
    <t>6.1</t>
  </si>
  <si>
    <t>مستندات API</t>
  </si>
  <si>
    <t>6.2</t>
  </si>
  <si>
    <t>User Guide</t>
  </si>
  <si>
    <t>راهنمای کاربر</t>
  </si>
  <si>
    <t>6.3</t>
  </si>
  <si>
    <t>Deployment Guide</t>
  </si>
  <si>
    <t>راهنمای استقرار</t>
  </si>
  <si>
    <t>6.4</t>
  </si>
  <si>
    <t>README Files</t>
  </si>
  <si>
    <t>فایل‌های README</t>
  </si>
  <si>
    <t>7.0</t>
  </si>
  <si>
    <t>Testing</t>
  </si>
  <si>
    <t>Integration Testing</t>
  </si>
  <si>
    <t>تست یکپارچه‌سازی کامل</t>
  </si>
  <si>
    <t>7.1</t>
  </si>
  <si>
    <t>Performance Testing</t>
  </si>
  <si>
    <t>تست عملکرد</t>
  </si>
  <si>
    <t>7.2</t>
  </si>
  <si>
    <t>Security Testing</t>
  </si>
  <si>
    <t>تست امنیتی</t>
  </si>
  <si>
    <t>7.3</t>
  </si>
  <si>
    <t>User Acceptance Testing</t>
  </si>
  <si>
    <t>تست پذیرش کاربر</t>
  </si>
  <si>
    <t>8.0</t>
  </si>
  <si>
    <t>Deployment</t>
  </si>
  <si>
    <t>Production Deployment</t>
  </si>
  <si>
    <t>استقرار نهایی</t>
  </si>
  <si>
    <t>8.1</t>
  </si>
  <si>
    <t>Post-deployment Testing</t>
  </si>
  <si>
    <t>تست بعد از استقرار</t>
  </si>
  <si>
    <t>8.2</t>
  </si>
  <si>
    <t>Handover</t>
  </si>
  <si>
    <t>تحویل پروژه</t>
  </si>
  <si>
    <t>├─ تعداد: 27</t>
  </si>
  <si>
    <t>└─ زمان: 72.0 ساعت</t>
  </si>
  <si>
    <t>📦 توزیع فازها:</t>
  </si>
  <si>
    <t>Backend            20   51.0</t>
  </si>
  <si>
    <t>Deployment          3    8.0</t>
  </si>
  <si>
    <t>DevOps              7   16.0</t>
  </si>
  <si>
    <t>Documentation       5   11.0</t>
  </si>
  <si>
    <t>Frontend           26   69.0</t>
  </si>
  <si>
    <t>Infrastructure      8   10.0</t>
  </si>
  <si>
    <t>Integration         6   14.0</t>
  </si>
  <si>
    <t>Setup               3    3.5</t>
  </si>
  <si>
    <t>Testing             4   14.0</t>
  </si>
  <si>
    <t xml:space="preserve">                Tasks      Hours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</si>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</sst>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Vazir"/>
      <family val="2"/>
    </font>
    <font>
      <b/>
      <sz val="10"/>
      <color rgb="FFFFFFFF"/>
      <name val="Vazir"/>
      <family val="2"/>
    </font>
    <font>
      <sz val="10"/>
      <color theme="1"/>
      <name val="Vazir"/>
      <family val="2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6B6B"/>
        <bgColor rgb="FFFF6B6B"/>
      </patternFill>
    </fill>
    <fill>
      <patternFill patternType="solid">
        <fgColor rgb="FFFFA500"/>
        <bgColor rgb="FFFFA500"/>
      </patternFill>
    </fill>
    <fill>
      <patternFill patternType="solid">
        <fgColor rgb="FFFFD700"/>
        <bgColor rgb="FFFFD700"/>
      </patternFill>
    </fill>
    <fill>
      <patternFill patternType="solid">
        <fgColor rgb="FF90EE90"/>
        <bgColor rgb="FF90EE9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0" fontId="3" fillId="0" borderId="3" xfId="0" applyNumberFormat="1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10" fontId="3" fillId="0" borderId="9" xfId="0" applyNumberFormat="1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</cellXfs>
  <cellStyles count="1">
    <cellStyle name="Normal" xfId="0" builtinId="0"/>
  </cellStyles>
  <dxfs count="22">
    <dxf>
      <font>
        <b/>
        <i val="0"/>
        <color theme="0"/>
      </font>
      <fill>
        <patternFill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Vazir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Vazir"/>
        <family val="2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Vazir"/>
        <family val="2"/>
        <scheme val="none"/>
      </font>
      <numFmt numFmtId="14" formatCode="0.00%"/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Vazir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Vazir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Vazir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Vazir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Vazir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Vazir"/>
        <family val="2"/>
        <scheme val="none"/>
      </font>
      <fill>
        <patternFill patternType="solid">
          <fgColor rgb="FFFFA500"/>
          <bgColor rgb="FFFFA50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Vazir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Vazir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Vazir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Vazir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Vazir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Vazir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Vazir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Vazir"/>
        <family val="2"/>
        <scheme val="none"/>
      </font>
      <fill>
        <patternFill patternType="solid">
          <fgColor rgb="FF366092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200025</xdr:rowOff>
    </xdr:from>
    <xdr:to>
      <xdr:col>6</xdr:col>
      <xdr:colOff>57631</xdr:colOff>
      <xdr:row>16</xdr:row>
      <xdr:rowOff>28966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F26B6B-AA34-9727-1F95-23F7199EF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9350" y="838200"/>
          <a:ext cx="3448531" cy="28007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051BCB-995B-45E7-9726-71024D8C6BA8}" name="Table2" displayName="Table2" ref="A1:M83" totalsRowShown="0" headerRowDxfId="21" dataDxfId="19" headerRowBorderDxfId="20" tableBorderDxfId="18" totalsRowBorderDxfId="17">
  <autoFilter ref="A1:M83" xr:uid="{64051BCB-995B-45E7-9726-71024D8C6BA8}"/>
  <tableColumns count="13">
    <tableColumn id="1" xr3:uid="{BAB119D1-563D-4B1F-AB39-AA082D44C63F}" name="Task_ID" dataDxfId="16"/>
    <tableColumn id="2" xr3:uid="{CCF2EA3E-37D1-470C-A2C7-C2B2CDFDB0C1}" name="Phase" dataDxfId="15"/>
    <tableColumn id="3" xr3:uid="{F3CE166B-8FD4-437B-B4CF-D0192E778FDB}" name="Task_Name" dataDxfId="14"/>
    <tableColumn id="4" xr3:uid="{52E941FC-BD89-46C4-BAF7-778A15C22CB7}" name="Description" dataDxfId="13"/>
    <tableColumn id="5" xr3:uid="{3B0396B7-FF69-4326-8CFB-B20E7EADC64C}" name="Dependencies" dataDxfId="12"/>
    <tableColumn id="6" xr3:uid="{92F11220-F7A4-497D-B06D-C53449939B54}" name="Duration_Hours" dataDxfId="11"/>
    <tableColumn id="7" xr3:uid="{259F1786-ECFD-4A12-ABE3-BE143AF27E8F}" name="Priority" dataDxfId="10"/>
    <tableColumn id="8" xr3:uid="{E898809D-28C0-46A8-8C6C-E765917A04F3}" name="Status" dataDxfId="9"/>
    <tableColumn id="9" xr3:uid="{FAD44549-D3BF-445D-AD2F-4BE20F8C6E05}" name="Start_Date" dataDxfId="8"/>
    <tableColumn id="10" xr3:uid="{165FCF9C-1DCB-4BFC-8091-4EA3BD102570}" name="End_Date" dataDxfId="7"/>
    <tableColumn id="11" xr3:uid="{C96A5623-36EF-4C9B-8B4E-B72D990506B3}" name="Assigned_To" dataDxfId="6"/>
    <tableColumn id="12" xr3:uid="{E3739B43-D2D5-4E98-8086-2DDFBF159E13}" name="Notes" dataDxfId="5"/>
    <tableColumn id="13" xr3:uid="{74EB2524-0AD4-4F4A-8AC3-A54D84EEA3C8}" name="Completion_%" dataDxfId="4">
      <calculatedColumnFormula>IF(H2="Completed",1/91,0)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4B51C-C1D5-4375-9659-4C57023CE9AB}" name="Table1" displayName="Table1" ref="A1:A16" totalsRowShown="0" headerRowDxfId="3" dataDxfId="2">
  <autoFilter ref="A1:A16" xr:uid="{5AB4B51C-C1D5-4375-9659-4C57023CE9AB}"/>
  <tableColumns count="1">
    <tableColumn id="1" xr3:uid="{264049BF-32C1-4C12-A387-BC0E37D7882D}" name="Statu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abSelected="1" topLeftCell="D1" workbookViewId="0">
      <pane ySplit="1" topLeftCell="A2" activePane="bottomLeft" state="frozen"/>
      <selection pane="bottomLeft" activeCell="E16" sqref="E16"/>
    </sheetView>
  </sheetViews>
  <sheetFormatPr defaultRowHeight="14.25" x14ac:dyDescent="0.2"/>
  <cols>
    <col min="1" max="1" width="10" customWidth="1"/>
    <col min="2" max="2" width="15" customWidth="1"/>
    <col min="3" max="3" width="30" customWidth="1"/>
    <col min="4" max="4" width="35" customWidth="1"/>
    <col min="5" max="5" width="15.625" customWidth="1"/>
    <col min="6" max="6" width="16.75" customWidth="1"/>
    <col min="7" max="8" width="12" customWidth="1"/>
    <col min="9" max="9" width="12.125" customWidth="1"/>
    <col min="10" max="10" width="12" customWidth="1"/>
    <col min="11" max="11" width="20" customWidth="1"/>
    <col min="12" max="12" width="40" customWidth="1"/>
    <col min="13" max="13" width="15.5" customWidth="1"/>
  </cols>
  <sheetData>
    <row r="1" spans="1:13" ht="15.75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ht="15.75" x14ac:dyDescent="0.2">
      <c r="A2" s="6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>
        <v>2</v>
      </c>
      <c r="G2" s="8" t="s">
        <v>18</v>
      </c>
      <c r="H2" s="7" t="s">
        <v>286</v>
      </c>
      <c r="I2" s="7"/>
      <c r="J2" s="7"/>
      <c r="K2" s="7"/>
      <c r="L2" s="17"/>
      <c r="M2" s="9">
        <f>IF(H2="Completed",1/91,0)</f>
        <v>1.098901098901099E-2</v>
      </c>
    </row>
    <row r="3" spans="1:13" ht="15.75" x14ac:dyDescent="0.2">
      <c r="A3" s="6" t="s">
        <v>20</v>
      </c>
      <c r="B3" s="7" t="s">
        <v>14</v>
      </c>
      <c r="C3" s="7" t="s">
        <v>21</v>
      </c>
      <c r="D3" s="7" t="s">
        <v>22</v>
      </c>
      <c r="E3" s="7" t="s">
        <v>13</v>
      </c>
      <c r="F3" s="7">
        <v>1</v>
      </c>
      <c r="G3" s="8" t="s">
        <v>18</v>
      </c>
      <c r="H3" s="7" t="s">
        <v>286</v>
      </c>
      <c r="I3" s="7"/>
      <c r="J3" s="7"/>
      <c r="K3" s="7"/>
      <c r="L3" s="7"/>
      <c r="M3" s="9">
        <f t="shared" ref="M3:M66" si="0">IF(H3="Completed",1/91,0)</f>
        <v>1.098901098901099E-2</v>
      </c>
    </row>
    <row r="4" spans="1:13" ht="15.75" x14ac:dyDescent="0.2">
      <c r="A4" s="6" t="s">
        <v>23</v>
      </c>
      <c r="B4" s="7" t="s">
        <v>14</v>
      </c>
      <c r="C4" s="7" t="s">
        <v>24</v>
      </c>
      <c r="D4" s="7" t="s">
        <v>25</v>
      </c>
      <c r="E4" s="7" t="s">
        <v>20</v>
      </c>
      <c r="F4" s="7">
        <v>0.5</v>
      </c>
      <c r="G4" s="10" t="s">
        <v>26</v>
      </c>
      <c r="H4" s="7" t="s">
        <v>286</v>
      </c>
      <c r="I4" s="7"/>
      <c r="J4" s="7"/>
      <c r="K4" s="7"/>
      <c r="L4" s="7"/>
      <c r="M4" s="9">
        <f t="shared" si="0"/>
        <v>1.098901098901099E-2</v>
      </c>
    </row>
    <row r="5" spans="1:13" ht="15.75" x14ac:dyDescent="0.2">
      <c r="A5" s="6" t="s">
        <v>27</v>
      </c>
      <c r="B5" s="7" t="s">
        <v>28</v>
      </c>
      <c r="C5" s="7" t="s">
        <v>29</v>
      </c>
      <c r="D5" s="7" t="s">
        <v>30</v>
      </c>
      <c r="E5" s="7" t="s">
        <v>23</v>
      </c>
      <c r="F5" s="7">
        <v>1</v>
      </c>
      <c r="G5" s="8" t="s">
        <v>18</v>
      </c>
      <c r="H5" s="7" t="s">
        <v>286</v>
      </c>
      <c r="I5" s="7"/>
      <c r="J5" s="7"/>
      <c r="K5" s="7"/>
      <c r="L5" s="7"/>
      <c r="M5" s="9">
        <f t="shared" si="0"/>
        <v>1.098901098901099E-2</v>
      </c>
    </row>
    <row r="6" spans="1:13" ht="15.75" x14ac:dyDescent="0.2">
      <c r="A6" s="6" t="s">
        <v>31</v>
      </c>
      <c r="B6" s="7" t="s">
        <v>28</v>
      </c>
      <c r="C6" s="7" t="s">
        <v>32</v>
      </c>
      <c r="D6" s="7" t="s">
        <v>33</v>
      </c>
      <c r="E6" s="7" t="s">
        <v>27</v>
      </c>
      <c r="F6" s="7">
        <v>2</v>
      </c>
      <c r="G6" s="8" t="s">
        <v>18</v>
      </c>
      <c r="H6" s="7" t="s">
        <v>286</v>
      </c>
      <c r="I6" s="7"/>
      <c r="J6" s="7"/>
      <c r="K6" s="7"/>
      <c r="L6" s="7"/>
      <c r="M6" s="9">
        <f t="shared" si="0"/>
        <v>1.098901098901099E-2</v>
      </c>
    </row>
    <row r="7" spans="1:13" ht="15.75" x14ac:dyDescent="0.2">
      <c r="A7" s="6" t="s">
        <v>34</v>
      </c>
      <c r="B7" s="7" t="s">
        <v>28</v>
      </c>
      <c r="C7" s="7" t="s">
        <v>35</v>
      </c>
      <c r="D7" s="7" t="s">
        <v>36</v>
      </c>
      <c r="E7" s="7" t="s">
        <v>31</v>
      </c>
      <c r="F7" s="7">
        <v>1</v>
      </c>
      <c r="G7" s="10" t="s">
        <v>26</v>
      </c>
      <c r="H7" s="7" t="s">
        <v>286</v>
      </c>
      <c r="I7" s="7"/>
      <c r="J7" s="7"/>
      <c r="K7" s="7"/>
      <c r="L7" s="7"/>
      <c r="M7" s="9">
        <f t="shared" si="0"/>
        <v>1.098901098901099E-2</v>
      </c>
    </row>
    <row r="8" spans="1:13" ht="15.75" x14ac:dyDescent="0.2">
      <c r="A8" s="6" t="s">
        <v>37</v>
      </c>
      <c r="B8" s="7" t="s">
        <v>28</v>
      </c>
      <c r="C8" s="7" t="s">
        <v>38</v>
      </c>
      <c r="D8" s="7" t="s">
        <v>39</v>
      </c>
      <c r="E8" s="7" t="s">
        <v>34</v>
      </c>
      <c r="F8" s="7">
        <v>2</v>
      </c>
      <c r="G8" s="8" t="s">
        <v>18</v>
      </c>
      <c r="H8" s="7" t="s">
        <v>286</v>
      </c>
      <c r="I8" s="7"/>
      <c r="J8" s="7"/>
      <c r="K8" s="7"/>
      <c r="L8" s="7"/>
      <c r="M8" s="9">
        <f t="shared" si="0"/>
        <v>1.098901098901099E-2</v>
      </c>
    </row>
    <row r="9" spans="1:13" ht="15.75" x14ac:dyDescent="0.2">
      <c r="A9" s="6" t="s">
        <v>40</v>
      </c>
      <c r="B9" s="7" t="s">
        <v>28</v>
      </c>
      <c r="C9" s="7" t="s">
        <v>41</v>
      </c>
      <c r="D9" s="7" t="s">
        <v>42</v>
      </c>
      <c r="E9" s="7" t="s">
        <v>37</v>
      </c>
      <c r="F9" s="7">
        <v>1</v>
      </c>
      <c r="G9" s="11" t="s">
        <v>43</v>
      </c>
      <c r="H9" s="7" t="s">
        <v>286</v>
      </c>
      <c r="I9" s="7"/>
      <c r="J9" s="7"/>
      <c r="K9" s="7"/>
      <c r="L9" s="7"/>
      <c r="M9" s="9">
        <f t="shared" si="0"/>
        <v>1.098901098901099E-2</v>
      </c>
    </row>
    <row r="10" spans="1:13" ht="15.75" x14ac:dyDescent="0.2">
      <c r="A10" s="6" t="s">
        <v>44</v>
      </c>
      <c r="B10" s="7" t="s">
        <v>28</v>
      </c>
      <c r="C10" s="7" t="s">
        <v>45</v>
      </c>
      <c r="D10" s="7" t="s">
        <v>46</v>
      </c>
      <c r="E10" s="7" t="s">
        <v>40</v>
      </c>
      <c r="F10" s="7">
        <v>1</v>
      </c>
      <c r="G10" s="10" t="s">
        <v>26</v>
      </c>
      <c r="H10" s="7" t="s">
        <v>286</v>
      </c>
      <c r="I10" s="7"/>
      <c r="J10" s="7"/>
      <c r="K10" s="7"/>
      <c r="L10" s="7"/>
      <c r="M10" s="9">
        <f t="shared" si="0"/>
        <v>1.098901098901099E-2</v>
      </c>
    </row>
    <row r="11" spans="1:13" ht="15.75" x14ac:dyDescent="0.2">
      <c r="A11" s="6" t="s">
        <v>47</v>
      </c>
      <c r="B11" s="7" t="s">
        <v>28</v>
      </c>
      <c r="C11" s="7" t="s">
        <v>48</v>
      </c>
      <c r="D11" s="7" t="s">
        <v>49</v>
      </c>
      <c r="E11" s="7" t="s">
        <v>44</v>
      </c>
      <c r="F11" s="7">
        <v>1</v>
      </c>
      <c r="G11" s="10" t="s">
        <v>26</v>
      </c>
      <c r="H11" s="7" t="s">
        <v>286</v>
      </c>
      <c r="I11" s="7"/>
      <c r="J11" s="7"/>
      <c r="K11" s="7"/>
      <c r="L11" s="7"/>
      <c r="M11" s="9">
        <f t="shared" si="0"/>
        <v>1.098901098901099E-2</v>
      </c>
    </row>
    <row r="12" spans="1:13" ht="15.75" x14ac:dyDescent="0.2">
      <c r="A12" s="6" t="s">
        <v>50</v>
      </c>
      <c r="B12" s="7" t="s">
        <v>28</v>
      </c>
      <c r="C12" s="7" t="s">
        <v>51</v>
      </c>
      <c r="D12" s="7" t="s">
        <v>52</v>
      </c>
      <c r="E12" s="7" t="s">
        <v>47</v>
      </c>
      <c r="F12" s="7">
        <v>1</v>
      </c>
      <c r="G12" s="10" t="s">
        <v>26</v>
      </c>
      <c r="H12" s="7" t="s">
        <v>286</v>
      </c>
      <c r="I12" s="7"/>
      <c r="J12" s="7"/>
      <c r="K12" s="7"/>
      <c r="L12" s="7"/>
      <c r="M12" s="9">
        <f t="shared" si="0"/>
        <v>1.098901098901099E-2</v>
      </c>
    </row>
    <row r="13" spans="1:13" ht="15.75" x14ac:dyDescent="0.2">
      <c r="A13" s="6" t="s">
        <v>53</v>
      </c>
      <c r="B13" s="7" t="s">
        <v>54</v>
      </c>
      <c r="C13" s="7" t="s">
        <v>55</v>
      </c>
      <c r="D13" s="7" t="s">
        <v>56</v>
      </c>
      <c r="E13" s="7" t="s">
        <v>50</v>
      </c>
      <c r="F13" s="7">
        <v>2</v>
      </c>
      <c r="G13" s="8" t="s">
        <v>18</v>
      </c>
      <c r="H13" s="7" t="s">
        <v>286</v>
      </c>
      <c r="I13" s="7"/>
      <c r="J13" s="7"/>
      <c r="K13" s="7"/>
      <c r="L13" s="7"/>
      <c r="M13" s="9">
        <f t="shared" si="0"/>
        <v>1.098901098901099E-2</v>
      </c>
    </row>
    <row r="14" spans="1:13" ht="15.75" x14ac:dyDescent="0.2">
      <c r="A14" s="6" t="s">
        <v>57</v>
      </c>
      <c r="B14" s="7" t="s">
        <v>54</v>
      </c>
      <c r="C14" s="7" t="s">
        <v>58</v>
      </c>
      <c r="D14" s="7" t="s">
        <v>59</v>
      </c>
      <c r="E14" s="7" t="s">
        <v>53</v>
      </c>
      <c r="F14" s="7">
        <v>1</v>
      </c>
      <c r="G14" s="8" t="s">
        <v>18</v>
      </c>
      <c r="H14" s="7" t="s">
        <v>286</v>
      </c>
      <c r="I14" s="7"/>
      <c r="J14" s="7"/>
      <c r="K14" s="7"/>
      <c r="L14" s="7"/>
      <c r="M14" s="9">
        <f t="shared" si="0"/>
        <v>1.098901098901099E-2</v>
      </c>
    </row>
    <row r="15" spans="1:13" ht="15.75" x14ac:dyDescent="0.2">
      <c r="A15" s="6" t="s">
        <v>60</v>
      </c>
      <c r="B15" s="7" t="s">
        <v>54</v>
      </c>
      <c r="C15" s="7" t="s">
        <v>61</v>
      </c>
      <c r="D15" s="7" t="s">
        <v>62</v>
      </c>
      <c r="E15" s="7" t="s">
        <v>57</v>
      </c>
      <c r="F15" s="7">
        <v>3</v>
      </c>
      <c r="G15" s="8" t="s">
        <v>18</v>
      </c>
      <c r="H15" s="7" t="s">
        <v>286</v>
      </c>
      <c r="I15" s="7"/>
      <c r="J15" s="7"/>
      <c r="K15" s="7"/>
      <c r="L15" s="7"/>
      <c r="M15" s="9">
        <f t="shared" si="0"/>
        <v>1.098901098901099E-2</v>
      </c>
    </row>
    <row r="16" spans="1:13" ht="15.75" x14ac:dyDescent="0.2">
      <c r="A16" s="6" t="s">
        <v>63</v>
      </c>
      <c r="B16" s="7" t="s">
        <v>54</v>
      </c>
      <c r="C16" s="7" t="s">
        <v>64</v>
      </c>
      <c r="D16" s="7" t="s">
        <v>65</v>
      </c>
      <c r="E16" s="7" t="s">
        <v>60</v>
      </c>
      <c r="F16" s="7">
        <v>2</v>
      </c>
      <c r="G16" s="8" t="s">
        <v>18</v>
      </c>
      <c r="H16" s="7" t="s">
        <v>286</v>
      </c>
      <c r="I16" s="7"/>
      <c r="J16" s="7"/>
      <c r="K16" s="7"/>
      <c r="L16" s="7"/>
      <c r="M16" s="9">
        <f t="shared" si="0"/>
        <v>1.098901098901099E-2</v>
      </c>
    </row>
    <row r="17" spans="1:13" ht="15.75" x14ac:dyDescent="0.2">
      <c r="A17" s="6" t="s">
        <v>66</v>
      </c>
      <c r="B17" s="7" t="s">
        <v>54</v>
      </c>
      <c r="C17" s="7" t="s">
        <v>67</v>
      </c>
      <c r="D17" s="7" t="s">
        <v>68</v>
      </c>
      <c r="E17" s="7" t="s">
        <v>63</v>
      </c>
      <c r="F17" s="7">
        <v>2</v>
      </c>
      <c r="G17" s="10" t="s">
        <v>26</v>
      </c>
      <c r="H17" s="7" t="s">
        <v>286</v>
      </c>
      <c r="I17" s="7"/>
      <c r="J17" s="7"/>
      <c r="K17" s="7"/>
      <c r="L17" s="7"/>
      <c r="M17" s="9">
        <f t="shared" si="0"/>
        <v>1.098901098901099E-2</v>
      </c>
    </row>
    <row r="18" spans="1:13" ht="15.75" x14ac:dyDescent="0.2">
      <c r="A18" s="6" t="s">
        <v>69</v>
      </c>
      <c r="B18" s="7" t="s">
        <v>54</v>
      </c>
      <c r="C18" s="7" t="s">
        <v>70</v>
      </c>
      <c r="D18" s="7" t="s">
        <v>71</v>
      </c>
      <c r="E18" s="7" t="s">
        <v>66</v>
      </c>
      <c r="F18" s="7">
        <v>4</v>
      </c>
      <c r="G18" s="8" t="s">
        <v>18</v>
      </c>
      <c r="H18" s="7" t="s">
        <v>286</v>
      </c>
      <c r="I18" s="7"/>
      <c r="J18" s="7"/>
      <c r="K18" s="7"/>
      <c r="L18" s="7"/>
      <c r="M18" s="9">
        <f t="shared" si="0"/>
        <v>1.098901098901099E-2</v>
      </c>
    </row>
    <row r="19" spans="1:13" ht="15.75" x14ac:dyDescent="0.2">
      <c r="A19" s="6" t="s">
        <v>72</v>
      </c>
      <c r="B19" s="7" t="s">
        <v>54</v>
      </c>
      <c r="C19" s="7" t="s">
        <v>73</v>
      </c>
      <c r="D19" s="7" t="s">
        <v>74</v>
      </c>
      <c r="E19" s="7" t="s">
        <v>69</v>
      </c>
      <c r="F19" s="7">
        <v>3</v>
      </c>
      <c r="G19" s="10" t="s">
        <v>26</v>
      </c>
      <c r="H19" s="7" t="s">
        <v>286</v>
      </c>
      <c r="I19" s="7"/>
      <c r="J19" s="7"/>
      <c r="K19" s="7"/>
      <c r="L19" s="7"/>
      <c r="M19" s="9">
        <f t="shared" si="0"/>
        <v>1.098901098901099E-2</v>
      </c>
    </row>
    <row r="20" spans="1:13" ht="15.75" x14ac:dyDescent="0.2">
      <c r="A20" s="6" t="s">
        <v>75</v>
      </c>
      <c r="B20" s="7" t="s">
        <v>54</v>
      </c>
      <c r="C20" s="7" t="s">
        <v>76</v>
      </c>
      <c r="D20" s="7" t="s">
        <v>77</v>
      </c>
      <c r="E20" s="7" t="s">
        <v>72</v>
      </c>
      <c r="F20" s="7">
        <v>3</v>
      </c>
      <c r="G20" s="8" t="s">
        <v>18</v>
      </c>
      <c r="H20" s="7" t="s">
        <v>286</v>
      </c>
      <c r="I20" s="7"/>
      <c r="J20" s="7"/>
      <c r="K20" s="7"/>
      <c r="L20" s="7"/>
      <c r="M20" s="9">
        <f t="shared" si="0"/>
        <v>1.098901098901099E-2</v>
      </c>
    </row>
    <row r="21" spans="1:13" ht="15.75" x14ac:dyDescent="0.2">
      <c r="A21" s="6" t="s">
        <v>78</v>
      </c>
      <c r="B21" s="7" t="s">
        <v>54</v>
      </c>
      <c r="C21" s="7" t="s">
        <v>79</v>
      </c>
      <c r="D21" s="7" t="s">
        <v>80</v>
      </c>
      <c r="E21" s="7" t="s">
        <v>75</v>
      </c>
      <c r="F21" s="7">
        <v>4</v>
      </c>
      <c r="G21" s="8" t="s">
        <v>18</v>
      </c>
      <c r="H21" s="7" t="s">
        <v>19</v>
      </c>
      <c r="I21" s="7"/>
      <c r="J21" s="7"/>
      <c r="K21" s="7"/>
      <c r="L21" s="7"/>
      <c r="M21" s="9">
        <f t="shared" si="0"/>
        <v>0</v>
      </c>
    </row>
    <row r="22" spans="1:13" ht="15.75" x14ac:dyDescent="0.2">
      <c r="A22" s="6" t="s">
        <v>81</v>
      </c>
      <c r="B22" s="7" t="s">
        <v>54</v>
      </c>
      <c r="C22" s="7" t="s">
        <v>82</v>
      </c>
      <c r="D22" s="7" t="s">
        <v>83</v>
      </c>
      <c r="E22" s="7" t="s">
        <v>78</v>
      </c>
      <c r="F22" s="7">
        <v>2</v>
      </c>
      <c r="G22" s="10" t="s">
        <v>26</v>
      </c>
      <c r="H22" s="7" t="s">
        <v>19</v>
      </c>
      <c r="I22" s="7"/>
      <c r="J22" s="7"/>
      <c r="K22" s="7"/>
      <c r="L22" s="7"/>
      <c r="M22" s="9">
        <f t="shared" si="0"/>
        <v>0</v>
      </c>
    </row>
    <row r="23" spans="1:13" ht="15.75" x14ac:dyDescent="0.2">
      <c r="A23" s="6" t="s">
        <v>84</v>
      </c>
      <c r="B23" s="7" t="s">
        <v>54</v>
      </c>
      <c r="C23" s="7" t="s">
        <v>85</v>
      </c>
      <c r="D23" s="7" t="s">
        <v>86</v>
      </c>
      <c r="E23" s="7" t="s">
        <v>81</v>
      </c>
      <c r="F23" s="7">
        <v>3</v>
      </c>
      <c r="G23" s="10" t="s">
        <v>26</v>
      </c>
      <c r="H23" s="7" t="s">
        <v>19</v>
      </c>
      <c r="I23" s="7"/>
      <c r="J23" s="7"/>
      <c r="K23" s="7"/>
      <c r="L23" s="7"/>
      <c r="M23" s="9">
        <f t="shared" si="0"/>
        <v>0</v>
      </c>
    </row>
    <row r="24" spans="1:13" ht="15.75" x14ac:dyDescent="0.2">
      <c r="A24" s="6" t="s">
        <v>87</v>
      </c>
      <c r="B24" s="7" t="s">
        <v>54</v>
      </c>
      <c r="C24" s="7" t="s">
        <v>88</v>
      </c>
      <c r="D24" s="7" t="s">
        <v>89</v>
      </c>
      <c r="E24" s="7" t="s">
        <v>84</v>
      </c>
      <c r="F24" s="7">
        <v>3</v>
      </c>
      <c r="G24" s="11" t="s">
        <v>43</v>
      </c>
      <c r="H24" s="7" t="s">
        <v>19</v>
      </c>
      <c r="I24" s="7"/>
      <c r="J24" s="7"/>
      <c r="K24" s="7"/>
      <c r="L24" s="7"/>
      <c r="M24" s="9">
        <f t="shared" si="0"/>
        <v>0</v>
      </c>
    </row>
    <row r="25" spans="1:13" ht="15.75" x14ac:dyDescent="0.2">
      <c r="A25" s="6" t="s">
        <v>90</v>
      </c>
      <c r="B25" s="7" t="s">
        <v>54</v>
      </c>
      <c r="C25" s="7" t="s">
        <v>91</v>
      </c>
      <c r="D25" s="7" t="s">
        <v>92</v>
      </c>
      <c r="E25" s="7" t="s">
        <v>87</v>
      </c>
      <c r="F25" s="7">
        <v>3</v>
      </c>
      <c r="G25" s="10" t="s">
        <v>26</v>
      </c>
      <c r="H25" s="7" t="s">
        <v>19</v>
      </c>
      <c r="I25" s="7"/>
      <c r="J25" s="7"/>
      <c r="K25" s="7"/>
      <c r="L25" s="7"/>
      <c r="M25" s="9">
        <f t="shared" si="0"/>
        <v>0</v>
      </c>
    </row>
    <row r="26" spans="1:13" ht="15.75" x14ac:dyDescent="0.2">
      <c r="A26" s="6" t="s">
        <v>93</v>
      </c>
      <c r="B26" s="7" t="s">
        <v>54</v>
      </c>
      <c r="C26" s="7" t="s">
        <v>94</v>
      </c>
      <c r="D26" s="7" t="s">
        <v>95</v>
      </c>
      <c r="E26" s="7" t="s">
        <v>90</v>
      </c>
      <c r="F26" s="7">
        <v>2</v>
      </c>
      <c r="G26" s="10" t="s">
        <v>26</v>
      </c>
      <c r="H26" s="7" t="s">
        <v>19</v>
      </c>
      <c r="I26" s="7"/>
      <c r="J26" s="7"/>
      <c r="K26" s="7"/>
      <c r="L26" s="7"/>
      <c r="M26" s="9">
        <f t="shared" si="0"/>
        <v>0</v>
      </c>
    </row>
    <row r="27" spans="1:13" ht="15.75" x14ac:dyDescent="0.2">
      <c r="A27" s="6" t="s">
        <v>96</v>
      </c>
      <c r="B27" s="7" t="s">
        <v>54</v>
      </c>
      <c r="C27" s="7" t="s">
        <v>97</v>
      </c>
      <c r="D27" s="7" t="s">
        <v>98</v>
      </c>
      <c r="E27" s="7" t="s">
        <v>93</v>
      </c>
      <c r="F27" s="7">
        <v>2</v>
      </c>
      <c r="G27" s="11" t="s">
        <v>43</v>
      </c>
      <c r="H27" s="7" t="s">
        <v>19</v>
      </c>
      <c r="I27" s="7"/>
      <c r="J27" s="7"/>
      <c r="K27" s="7"/>
      <c r="L27" s="7"/>
      <c r="M27" s="9">
        <f t="shared" si="0"/>
        <v>0</v>
      </c>
    </row>
    <row r="28" spans="1:13" ht="15.75" x14ac:dyDescent="0.2">
      <c r="A28" s="6" t="s">
        <v>99</v>
      </c>
      <c r="B28" s="7" t="s">
        <v>54</v>
      </c>
      <c r="C28" s="7" t="s">
        <v>100</v>
      </c>
      <c r="D28" s="7" t="s">
        <v>101</v>
      </c>
      <c r="E28" s="7" t="s">
        <v>96</v>
      </c>
      <c r="F28" s="7">
        <v>2</v>
      </c>
      <c r="G28" s="10" t="s">
        <v>26</v>
      </c>
      <c r="H28" s="7" t="s">
        <v>19</v>
      </c>
      <c r="I28" s="7"/>
      <c r="J28" s="7"/>
      <c r="K28" s="7"/>
      <c r="L28" s="7"/>
      <c r="M28" s="9">
        <f t="shared" si="0"/>
        <v>0</v>
      </c>
    </row>
    <row r="29" spans="1:13" ht="15.75" x14ac:dyDescent="0.2">
      <c r="A29" s="6" t="s">
        <v>102</v>
      </c>
      <c r="B29" s="7" t="s">
        <v>54</v>
      </c>
      <c r="C29" s="7" t="s">
        <v>103</v>
      </c>
      <c r="D29" s="7" t="s">
        <v>104</v>
      </c>
      <c r="E29" s="7" t="s">
        <v>99</v>
      </c>
      <c r="F29" s="7">
        <v>2</v>
      </c>
      <c r="G29" s="11" t="s">
        <v>43</v>
      </c>
      <c r="H29" s="7" t="s">
        <v>19</v>
      </c>
      <c r="I29" s="7"/>
      <c r="J29" s="7"/>
      <c r="K29" s="7"/>
      <c r="L29" s="7"/>
      <c r="M29" s="9">
        <f t="shared" si="0"/>
        <v>0</v>
      </c>
    </row>
    <row r="30" spans="1:13" ht="15.75" x14ac:dyDescent="0.2">
      <c r="A30" s="6" t="s">
        <v>105</v>
      </c>
      <c r="B30" s="7" t="s">
        <v>54</v>
      </c>
      <c r="C30" s="7" t="s">
        <v>106</v>
      </c>
      <c r="D30" s="7" t="s">
        <v>107</v>
      </c>
      <c r="E30" s="7" t="s">
        <v>102</v>
      </c>
      <c r="F30" s="7">
        <v>2</v>
      </c>
      <c r="G30" s="12" t="s">
        <v>108</v>
      </c>
      <c r="H30" s="7" t="s">
        <v>19</v>
      </c>
      <c r="I30" s="7"/>
      <c r="J30" s="7"/>
      <c r="K30" s="7"/>
      <c r="L30" s="7"/>
      <c r="M30" s="9">
        <f t="shared" si="0"/>
        <v>0</v>
      </c>
    </row>
    <row r="31" spans="1:13" ht="15.75" x14ac:dyDescent="0.2">
      <c r="A31" s="6" t="s">
        <v>109</v>
      </c>
      <c r="B31" s="7" t="s">
        <v>54</v>
      </c>
      <c r="C31" s="7" t="s">
        <v>110</v>
      </c>
      <c r="D31" s="7" t="s">
        <v>111</v>
      </c>
      <c r="E31" s="7" t="s">
        <v>105</v>
      </c>
      <c r="F31" s="7">
        <v>4</v>
      </c>
      <c r="G31" s="10" t="s">
        <v>26</v>
      </c>
      <c r="H31" s="7" t="s">
        <v>19</v>
      </c>
      <c r="I31" s="7"/>
      <c r="J31" s="7"/>
      <c r="K31" s="7"/>
      <c r="L31" s="7"/>
      <c r="M31" s="9">
        <f t="shared" si="0"/>
        <v>0</v>
      </c>
    </row>
    <row r="32" spans="1:13" ht="15.75" x14ac:dyDescent="0.2">
      <c r="A32" s="6" t="s">
        <v>112</v>
      </c>
      <c r="B32" s="7" t="s">
        <v>54</v>
      </c>
      <c r="C32" s="7" t="s">
        <v>113</v>
      </c>
      <c r="D32" s="7" t="s">
        <v>114</v>
      </c>
      <c r="E32" s="7" t="s">
        <v>109</v>
      </c>
      <c r="F32" s="7">
        <v>2</v>
      </c>
      <c r="G32" s="10" t="s">
        <v>26</v>
      </c>
      <c r="H32" s="7" t="s">
        <v>19</v>
      </c>
      <c r="I32" s="7"/>
      <c r="J32" s="7"/>
      <c r="K32" s="7"/>
      <c r="L32" s="7"/>
      <c r="M32" s="9">
        <f t="shared" si="0"/>
        <v>0</v>
      </c>
    </row>
    <row r="33" spans="1:13" ht="15.75" x14ac:dyDescent="0.2">
      <c r="A33" s="6" t="s">
        <v>115</v>
      </c>
      <c r="B33" s="7" t="s">
        <v>116</v>
      </c>
      <c r="C33" s="7" t="s">
        <v>117</v>
      </c>
      <c r="D33" s="7" t="s">
        <v>118</v>
      </c>
      <c r="E33" s="7" t="s">
        <v>112</v>
      </c>
      <c r="F33" s="7">
        <v>2</v>
      </c>
      <c r="G33" s="8" t="s">
        <v>18</v>
      </c>
      <c r="H33" s="7" t="s">
        <v>19</v>
      </c>
      <c r="I33" s="7"/>
      <c r="J33" s="7"/>
      <c r="K33" s="7"/>
      <c r="L33" s="7"/>
      <c r="M33" s="9">
        <f t="shared" si="0"/>
        <v>0</v>
      </c>
    </row>
    <row r="34" spans="1:13" ht="15.75" x14ac:dyDescent="0.2">
      <c r="A34" s="6" t="s">
        <v>119</v>
      </c>
      <c r="B34" s="7" t="s">
        <v>116</v>
      </c>
      <c r="C34" s="7" t="s">
        <v>120</v>
      </c>
      <c r="D34" s="7" t="s">
        <v>121</v>
      </c>
      <c r="E34" s="7" t="s">
        <v>115</v>
      </c>
      <c r="F34" s="7">
        <v>2</v>
      </c>
      <c r="G34" s="8" t="s">
        <v>18</v>
      </c>
      <c r="H34" s="7" t="s">
        <v>19</v>
      </c>
      <c r="I34" s="7"/>
      <c r="J34" s="7"/>
      <c r="K34" s="7"/>
      <c r="L34" s="7"/>
      <c r="M34" s="9">
        <f t="shared" si="0"/>
        <v>0</v>
      </c>
    </row>
    <row r="35" spans="1:13" ht="15.75" x14ac:dyDescent="0.2">
      <c r="A35" s="6" t="s">
        <v>122</v>
      </c>
      <c r="B35" s="7" t="s">
        <v>116</v>
      </c>
      <c r="C35" s="7" t="s">
        <v>123</v>
      </c>
      <c r="D35" s="7" t="s">
        <v>124</v>
      </c>
      <c r="E35" s="7" t="s">
        <v>119</v>
      </c>
      <c r="F35" s="7">
        <v>1</v>
      </c>
      <c r="G35" s="10" t="s">
        <v>26</v>
      </c>
      <c r="H35" s="7" t="s">
        <v>19</v>
      </c>
      <c r="I35" s="7"/>
      <c r="J35" s="7"/>
      <c r="K35" s="7"/>
      <c r="L35" s="7"/>
      <c r="M35" s="9">
        <f t="shared" si="0"/>
        <v>0</v>
      </c>
    </row>
    <row r="36" spans="1:13" ht="15.75" x14ac:dyDescent="0.2">
      <c r="A36" s="6" t="s">
        <v>125</v>
      </c>
      <c r="B36" s="7" t="s">
        <v>116</v>
      </c>
      <c r="C36" s="7" t="s">
        <v>126</v>
      </c>
      <c r="D36" s="7" t="s">
        <v>127</v>
      </c>
      <c r="E36" s="7" t="s">
        <v>122</v>
      </c>
      <c r="F36" s="7">
        <v>1</v>
      </c>
      <c r="G36" s="10" t="s">
        <v>26</v>
      </c>
      <c r="H36" s="7" t="s">
        <v>19</v>
      </c>
      <c r="I36" s="7"/>
      <c r="J36" s="7"/>
      <c r="K36" s="7"/>
      <c r="L36" s="7"/>
      <c r="M36" s="9">
        <f t="shared" si="0"/>
        <v>0</v>
      </c>
    </row>
    <row r="37" spans="1:13" ht="15.75" x14ac:dyDescent="0.2">
      <c r="A37" s="6" t="s">
        <v>128</v>
      </c>
      <c r="B37" s="7" t="s">
        <v>116</v>
      </c>
      <c r="C37" s="7" t="s">
        <v>129</v>
      </c>
      <c r="D37" s="7" t="s">
        <v>130</v>
      </c>
      <c r="E37" s="7" t="s">
        <v>125</v>
      </c>
      <c r="F37" s="7">
        <v>1</v>
      </c>
      <c r="G37" s="10" t="s">
        <v>26</v>
      </c>
      <c r="H37" s="7" t="s">
        <v>19</v>
      </c>
      <c r="I37" s="7"/>
      <c r="J37" s="7"/>
      <c r="K37" s="7"/>
      <c r="L37" s="7"/>
      <c r="M37" s="9">
        <f t="shared" si="0"/>
        <v>0</v>
      </c>
    </row>
    <row r="38" spans="1:13" ht="15.75" x14ac:dyDescent="0.2">
      <c r="A38" s="6" t="s">
        <v>131</v>
      </c>
      <c r="B38" s="7" t="s">
        <v>116</v>
      </c>
      <c r="C38" s="7" t="s">
        <v>132</v>
      </c>
      <c r="D38" s="7" t="s">
        <v>133</v>
      </c>
      <c r="E38" s="7" t="s">
        <v>128</v>
      </c>
      <c r="F38" s="7">
        <v>2</v>
      </c>
      <c r="G38" s="8" t="s">
        <v>18</v>
      </c>
      <c r="H38" s="7" t="s">
        <v>19</v>
      </c>
      <c r="I38" s="7"/>
      <c r="J38" s="7"/>
      <c r="K38" s="7"/>
      <c r="L38" s="7"/>
      <c r="M38" s="9">
        <f t="shared" si="0"/>
        <v>0</v>
      </c>
    </row>
    <row r="39" spans="1:13" ht="15.75" x14ac:dyDescent="0.2">
      <c r="A39" s="6" t="s">
        <v>134</v>
      </c>
      <c r="B39" s="7" t="s">
        <v>116</v>
      </c>
      <c r="C39" s="7" t="s">
        <v>135</v>
      </c>
      <c r="D39" s="7" t="s">
        <v>136</v>
      </c>
      <c r="E39" s="7" t="s">
        <v>131</v>
      </c>
      <c r="F39" s="7">
        <v>3</v>
      </c>
      <c r="G39" s="8" t="s">
        <v>18</v>
      </c>
      <c r="H39" s="7" t="s">
        <v>19</v>
      </c>
      <c r="I39" s="7"/>
      <c r="J39" s="7"/>
      <c r="K39" s="7"/>
      <c r="L39" s="7"/>
      <c r="M39" s="9">
        <f t="shared" si="0"/>
        <v>0</v>
      </c>
    </row>
    <row r="40" spans="1:13" ht="15.75" x14ac:dyDescent="0.2">
      <c r="A40" s="6" t="s">
        <v>137</v>
      </c>
      <c r="B40" s="7" t="s">
        <v>116</v>
      </c>
      <c r="C40" s="7" t="s">
        <v>138</v>
      </c>
      <c r="D40" s="7" t="s">
        <v>139</v>
      </c>
      <c r="E40" s="7" t="s">
        <v>134</v>
      </c>
      <c r="F40" s="7">
        <v>3</v>
      </c>
      <c r="G40" s="8" t="s">
        <v>18</v>
      </c>
      <c r="H40" s="7" t="s">
        <v>19</v>
      </c>
      <c r="I40" s="7"/>
      <c r="J40" s="7"/>
      <c r="K40" s="7"/>
      <c r="L40" s="7"/>
      <c r="M40" s="9">
        <f t="shared" si="0"/>
        <v>0</v>
      </c>
    </row>
    <row r="41" spans="1:13" ht="15.75" x14ac:dyDescent="0.2">
      <c r="A41" s="6" t="s">
        <v>140</v>
      </c>
      <c r="B41" s="7" t="s">
        <v>116</v>
      </c>
      <c r="C41" s="7" t="s">
        <v>141</v>
      </c>
      <c r="D41" s="7" t="s">
        <v>142</v>
      </c>
      <c r="E41" s="7" t="s">
        <v>137</v>
      </c>
      <c r="F41" s="7">
        <v>4</v>
      </c>
      <c r="G41" s="10" t="s">
        <v>26</v>
      </c>
      <c r="H41" s="7" t="s">
        <v>19</v>
      </c>
      <c r="I41" s="7"/>
      <c r="J41" s="7"/>
      <c r="K41" s="7"/>
      <c r="L41" s="7"/>
      <c r="M41" s="9">
        <f t="shared" si="0"/>
        <v>0</v>
      </c>
    </row>
    <row r="42" spans="1:13" ht="15.75" x14ac:dyDescent="0.2">
      <c r="A42" s="6" t="s">
        <v>143</v>
      </c>
      <c r="B42" s="7" t="s">
        <v>116</v>
      </c>
      <c r="C42" s="7" t="s">
        <v>144</v>
      </c>
      <c r="D42" s="7" t="s">
        <v>145</v>
      </c>
      <c r="E42" s="7" t="s">
        <v>140</v>
      </c>
      <c r="F42" s="7">
        <v>3</v>
      </c>
      <c r="G42" s="10" t="s">
        <v>26</v>
      </c>
      <c r="H42" s="7" t="s">
        <v>19</v>
      </c>
      <c r="I42" s="7"/>
      <c r="J42" s="7"/>
      <c r="K42" s="7"/>
      <c r="L42" s="7"/>
      <c r="M42" s="9">
        <f t="shared" si="0"/>
        <v>0</v>
      </c>
    </row>
    <row r="43" spans="1:13" ht="15.75" x14ac:dyDescent="0.2">
      <c r="A43" s="6" t="s">
        <v>146</v>
      </c>
      <c r="B43" s="7" t="s">
        <v>116</v>
      </c>
      <c r="C43" s="7" t="s">
        <v>147</v>
      </c>
      <c r="D43" s="7" t="s">
        <v>148</v>
      </c>
      <c r="E43" s="7" t="s">
        <v>143</v>
      </c>
      <c r="F43" s="7">
        <v>3</v>
      </c>
      <c r="G43" s="8" t="s">
        <v>18</v>
      </c>
      <c r="H43" s="7" t="s">
        <v>19</v>
      </c>
      <c r="I43" s="7"/>
      <c r="J43" s="7"/>
      <c r="K43" s="7"/>
      <c r="L43" s="7"/>
      <c r="M43" s="9">
        <f t="shared" si="0"/>
        <v>0</v>
      </c>
    </row>
    <row r="44" spans="1:13" ht="15.75" x14ac:dyDescent="0.2">
      <c r="A44" s="6" t="s">
        <v>149</v>
      </c>
      <c r="B44" s="7" t="s">
        <v>116</v>
      </c>
      <c r="C44" s="7" t="s">
        <v>150</v>
      </c>
      <c r="D44" s="7" t="s">
        <v>151</v>
      </c>
      <c r="E44" s="7" t="s">
        <v>146</v>
      </c>
      <c r="F44" s="7">
        <v>4</v>
      </c>
      <c r="G44" s="8" t="s">
        <v>18</v>
      </c>
      <c r="H44" s="7" t="s">
        <v>19</v>
      </c>
      <c r="I44" s="7"/>
      <c r="J44" s="7"/>
      <c r="K44" s="7"/>
      <c r="L44" s="7"/>
      <c r="M44" s="9">
        <f t="shared" si="0"/>
        <v>0</v>
      </c>
    </row>
    <row r="45" spans="1:13" ht="15.75" x14ac:dyDescent="0.2">
      <c r="A45" s="6" t="s">
        <v>152</v>
      </c>
      <c r="B45" s="7" t="s">
        <v>116</v>
      </c>
      <c r="C45" s="7" t="s">
        <v>153</v>
      </c>
      <c r="D45" s="7" t="s">
        <v>154</v>
      </c>
      <c r="E45" s="7" t="s">
        <v>149</v>
      </c>
      <c r="F45" s="7">
        <v>4</v>
      </c>
      <c r="G45" s="8" t="s">
        <v>18</v>
      </c>
      <c r="H45" s="7" t="s">
        <v>19</v>
      </c>
      <c r="I45" s="7"/>
      <c r="J45" s="7"/>
      <c r="K45" s="7"/>
      <c r="L45" s="7"/>
      <c r="M45" s="9">
        <f t="shared" si="0"/>
        <v>0</v>
      </c>
    </row>
    <row r="46" spans="1:13" ht="15.75" x14ac:dyDescent="0.2">
      <c r="A46" s="6" t="s">
        <v>155</v>
      </c>
      <c r="B46" s="7" t="s">
        <v>116</v>
      </c>
      <c r="C46" s="7" t="s">
        <v>156</v>
      </c>
      <c r="D46" s="7" t="s">
        <v>157</v>
      </c>
      <c r="E46" s="7" t="s">
        <v>152</v>
      </c>
      <c r="F46" s="7">
        <v>4</v>
      </c>
      <c r="G46" s="8" t="s">
        <v>18</v>
      </c>
      <c r="H46" s="7" t="s">
        <v>19</v>
      </c>
      <c r="I46" s="7"/>
      <c r="J46" s="7"/>
      <c r="K46" s="7"/>
      <c r="L46" s="7"/>
      <c r="M46" s="9">
        <f t="shared" si="0"/>
        <v>0</v>
      </c>
    </row>
    <row r="47" spans="1:13" ht="15.75" x14ac:dyDescent="0.2">
      <c r="A47" s="6" t="s">
        <v>158</v>
      </c>
      <c r="B47" s="7" t="s">
        <v>116</v>
      </c>
      <c r="C47" s="7" t="s">
        <v>159</v>
      </c>
      <c r="D47" s="7" t="s">
        <v>160</v>
      </c>
      <c r="E47" s="7" t="s">
        <v>155</v>
      </c>
      <c r="F47" s="7">
        <v>3</v>
      </c>
      <c r="G47" s="10" t="s">
        <v>26</v>
      </c>
      <c r="H47" s="7" t="s">
        <v>19</v>
      </c>
      <c r="I47" s="7"/>
      <c r="J47" s="7"/>
      <c r="K47" s="7"/>
      <c r="L47" s="7"/>
      <c r="M47" s="9">
        <f t="shared" si="0"/>
        <v>0</v>
      </c>
    </row>
    <row r="48" spans="1:13" ht="15.75" x14ac:dyDescent="0.2">
      <c r="A48" s="6" t="s">
        <v>161</v>
      </c>
      <c r="B48" s="7" t="s">
        <v>116</v>
      </c>
      <c r="C48" s="7" t="s">
        <v>162</v>
      </c>
      <c r="D48" s="7" t="s">
        <v>163</v>
      </c>
      <c r="E48" s="7" t="s">
        <v>158</v>
      </c>
      <c r="F48" s="7">
        <v>3</v>
      </c>
      <c r="G48" s="10" t="s">
        <v>26</v>
      </c>
      <c r="H48" s="7" t="s">
        <v>19</v>
      </c>
      <c r="I48" s="7"/>
      <c r="J48" s="7"/>
      <c r="K48" s="7"/>
      <c r="L48" s="7"/>
      <c r="M48" s="9">
        <f t="shared" si="0"/>
        <v>0</v>
      </c>
    </row>
    <row r="49" spans="1:13" ht="15.75" x14ac:dyDescent="0.2">
      <c r="A49" s="6" t="s">
        <v>164</v>
      </c>
      <c r="B49" s="7" t="s">
        <v>116</v>
      </c>
      <c r="C49" s="7" t="s">
        <v>165</v>
      </c>
      <c r="D49" s="7" t="s">
        <v>166</v>
      </c>
      <c r="E49" s="7" t="s">
        <v>161</v>
      </c>
      <c r="F49" s="7">
        <v>3</v>
      </c>
      <c r="G49" s="10" t="s">
        <v>26</v>
      </c>
      <c r="H49" s="7" t="s">
        <v>19</v>
      </c>
      <c r="I49" s="7"/>
      <c r="J49" s="7"/>
      <c r="K49" s="7"/>
      <c r="L49" s="7"/>
      <c r="M49" s="9">
        <f t="shared" si="0"/>
        <v>0</v>
      </c>
    </row>
    <row r="50" spans="1:13" ht="15.75" x14ac:dyDescent="0.2">
      <c r="A50" s="6" t="s">
        <v>167</v>
      </c>
      <c r="B50" s="7" t="s">
        <v>116</v>
      </c>
      <c r="C50" s="7" t="s">
        <v>168</v>
      </c>
      <c r="D50" s="7" t="s">
        <v>169</v>
      </c>
      <c r="E50" s="7" t="s">
        <v>164</v>
      </c>
      <c r="F50" s="7">
        <v>3</v>
      </c>
      <c r="G50" s="11" t="s">
        <v>43</v>
      </c>
      <c r="H50" s="7" t="s">
        <v>19</v>
      </c>
      <c r="I50" s="7"/>
      <c r="J50" s="7"/>
      <c r="K50" s="7"/>
      <c r="L50" s="7"/>
      <c r="M50" s="9">
        <f t="shared" si="0"/>
        <v>0</v>
      </c>
    </row>
    <row r="51" spans="1:13" ht="15.75" x14ac:dyDescent="0.2">
      <c r="A51" s="6" t="s">
        <v>170</v>
      </c>
      <c r="B51" s="7" t="s">
        <v>116</v>
      </c>
      <c r="C51" s="7" t="s">
        <v>171</v>
      </c>
      <c r="D51" s="7" t="s">
        <v>172</v>
      </c>
      <c r="E51" s="7" t="s">
        <v>167</v>
      </c>
      <c r="F51" s="7">
        <v>3</v>
      </c>
      <c r="G51" s="11" t="s">
        <v>43</v>
      </c>
      <c r="H51" s="7" t="s">
        <v>19</v>
      </c>
      <c r="I51" s="7"/>
      <c r="J51" s="7"/>
      <c r="K51" s="7"/>
      <c r="L51" s="7"/>
      <c r="M51" s="9">
        <f t="shared" si="0"/>
        <v>0</v>
      </c>
    </row>
    <row r="52" spans="1:13" ht="15.75" x14ac:dyDescent="0.2">
      <c r="A52" s="6" t="s">
        <v>173</v>
      </c>
      <c r="B52" s="7" t="s">
        <v>116</v>
      </c>
      <c r="C52" s="7" t="s">
        <v>174</v>
      </c>
      <c r="D52" s="7" t="s">
        <v>175</v>
      </c>
      <c r="E52" s="7" t="s">
        <v>170</v>
      </c>
      <c r="F52" s="7">
        <v>2</v>
      </c>
      <c r="G52" s="10" t="s">
        <v>26</v>
      </c>
      <c r="H52" s="7" t="s">
        <v>19</v>
      </c>
      <c r="I52" s="7"/>
      <c r="J52" s="7"/>
      <c r="K52" s="7"/>
      <c r="L52" s="7"/>
      <c r="M52" s="9">
        <f t="shared" si="0"/>
        <v>0</v>
      </c>
    </row>
    <row r="53" spans="1:13" ht="15.75" x14ac:dyDescent="0.2">
      <c r="A53" s="6" t="s">
        <v>176</v>
      </c>
      <c r="B53" s="7" t="s">
        <v>116</v>
      </c>
      <c r="C53" s="7" t="s">
        <v>177</v>
      </c>
      <c r="D53" s="7" t="s">
        <v>178</v>
      </c>
      <c r="E53" s="7" t="s">
        <v>173</v>
      </c>
      <c r="F53" s="7">
        <v>3</v>
      </c>
      <c r="G53" s="11" t="s">
        <v>43</v>
      </c>
      <c r="H53" s="7" t="s">
        <v>19</v>
      </c>
      <c r="I53" s="7"/>
      <c r="J53" s="7"/>
      <c r="K53" s="7"/>
      <c r="L53" s="7"/>
      <c r="M53" s="9">
        <f t="shared" si="0"/>
        <v>0</v>
      </c>
    </row>
    <row r="54" spans="1:13" ht="15.75" x14ac:dyDescent="0.2">
      <c r="A54" s="6" t="s">
        <v>179</v>
      </c>
      <c r="B54" s="7" t="s">
        <v>116</v>
      </c>
      <c r="C54" s="7" t="s">
        <v>180</v>
      </c>
      <c r="D54" s="7" t="s">
        <v>181</v>
      </c>
      <c r="E54" s="7" t="s">
        <v>176</v>
      </c>
      <c r="F54" s="7">
        <v>2</v>
      </c>
      <c r="G54" s="11" t="s">
        <v>43</v>
      </c>
      <c r="H54" s="7" t="s">
        <v>19</v>
      </c>
      <c r="I54" s="7"/>
      <c r="J54" s="7"/>
      <c r="K54" s="7"/>
      <c r="L54" s="7"/>
      <c r="M54" s="9">
        <f t="shared" si="0"/>
        <v>0</v>
      </c>
    </row>
    <row r="55" spans="1:13" ht="15.75" x14ac:dyDescent="0.2">
      <c r="A55" s="6" t="s">
        <v>182</v>
      </c>
      <c r="B55" s="7" t="s">
        <v>116</v>
      </c>
      <c r="C55" s="7" t="s">
        <v>183</v>
      </c>
      <c r="D55" s="7" t="s">
        <v>184</v>
      </c>
      <c r="E55" s="7" t="s">
        <v>179</v>
      </c>
      <c r="F55" s="7">
        <v>2</v>
      </c>
      <c r="G55" s="11" t="s">
        <v>43</v>
      </c>
      <c r="H55" s="7" t="s">
        <v>19</v>
      </c>
      <c r="I55" s="7"/>
      <c r="J55" s="7"/>
      <c r="K55" s="7"/>
      <c r="L55" s="7"/>
      <c r="M55" s="9">
        <f t="shared" si="0"/>
        <v>0</v>
      </c>
    </row>
    <row r="56" spans="1:13" ht="15.75" x14ac:dyDescent="0.2">
      <c r="A56" s="6" t="s">
        <v>185</v>
      </c>
      <c r="B56" s="7" t="s">
        <v>116</v>
      </c>
      <c r="C56" s="7" t="s">
        <v>186</v>
      </c>
      <c r="D56" s="7" t="s">
        <v>187</v>
      </c>
      <c r="E56" s="7" t="s">
        <v>182</v>
      </c>
      <c r="F56" s="7">
        <v>2</v>
      </c>
      <c r="G56" s="10" t="s">
        <v>26</v>
      </c>
      <c r="H56" s="7" t="s">
        <v>19</v>
      </c>
      <c r="I56" s="7"/>
      <c r="J56" s="7"/>
      <c r="K56" s="7"/>
      <c r="L56" s="7"/>
      <c r="M56" s="9">
        <f t="shared" si="0"/>
        <v>0</v>
      </c>
    </row>
    <row r="57" spans="1:13" ht="15.75" x14ac:dyDescent="0.2">
      <c r="A57" s="6" t="s">
        <v>188</v>
      </c>
      <c r="B57" s="7" t="s">
        <v>116</v>
      </c>
      <c r="C57" s="7" t="s">
        <v>189</v>
      </c>
      <c r="D57" s="7" t="s">
        <v>190</v>
      </c>
      <c r="E57" s="7" t="s">
        <v>185</v>
      </c>
      <c r="F57" s="7">
        <v>3</v>
      </c>
      <c r="G57" s="10" t="s">
        <v>26</v>
      </c>
      <c r="H57" s="7" t="s">
        <v>19</v>
      </c>
      <c r="I57" s="7"/>
      <c r="J57" s="7"/>
      <c r="K57" s="7"/>
      <c r="L57" s="7"/>
      <c r="M57" s="9">
        <f t="shared" si="0"/>
        <v>0</v>
      </c>
    </row>
    <row r="58" spans="1:13" ht="15.75" x14ac:dyDescent="0.2">
      <c r="A58" s="6" t="s">
        <v>191</v>
      </c>
      <c r="B58" s="7" t="s">
        <v>116</v>
      </c>
      <c r="C58" s="7" t="s">
        <v>192</v>
      </c>
      <c r="D58" s="7" t="s">
        <v>193</v>
      </c>
      <c r="E58" s="7" t="s">
        <v>188</v>
      </c>
      <c r="F58" s="7">
        <v>3</v>
      </c>
      <c r="G58" s="11" t="s">
        <v>43</v>
      </c>
      <c r="H58" s="7" t="s">
        <v>19</v>
      </c>
      <c r="I58" s="7"/>
      <c r="J58" s="7"/>
      <c r="K58" s="7"/>
      <c r="L58" s="7"/>
      <c r="M58" s="9">
        <f t="shared" si="0"/>
        <v>0</v>
      </c>
    </row>
    <row r="59" spans="1:13" ht="15.75" x14ac:dyDescent="0.2">
      <c r="A59" s="6" t="s">
        <v>194</v>
      </c>
      <c r="B59" s="7" t="s">
        <v>195</v>
      </c>
      <c r="C59" s="7" t="s">
        <v>196</v>
      </c>
      <c r="D59" s="7" t="s">
        <v>197</v>
      </c>
      <c r="E59" s="7" t="s">
        <v>191</v>
      </c>
      <c r="F59" s="7">
        <v>3</v>
      </c>
      <c r="G59" s="8" t="s">
        <v>18</v>
      </c>
      <c r="H59" s="7" t="s">
        <v>19</v>
      </c>
      <c r="I59" s="7"/>
      <c r="J59" s="7"/>
      <c r="K59" s="7"/>
      <c r="L59" s="7"/>
      <c r="M59" s="9">
        <f t="shared" si="0"/>
        <v>0</v>
      </c>
    </row>
    <row r="60" spans="1:13" ht="15.75" x14ac:dyDescent="0.2">
      <c r="A60" s="6" t="s">
        <v>198</v>
      </c>
      <c r="B60" s="7" t="s">
        <v>195</v>
      </c>
      <c r="C60" s="7" t="s">
        <v>199</v>
      </c>
      <c r="D60" s="7" t="s">
        <v>200</v>
      </c>
      <c r="E60" s="7" t="s">
        <v>194</v>
      </c>
      <c r="F60" s="7">
        <v>2</v>
      </c>
      <c r="G60" s="8" t="s">
        <v>18</v>
      </c>
      <c r="H60" s="7" t="s">
        <v>19</v>
      </c>
      <c r="I60" s="7"/>
      <c r="J60" s="7"/>
      <c r="K60" s="7"/>
      <c r="L60" s="7"/>
      <c r="M60" s="9">
        <f t="shared" si="0"/>
        <v>0</v>
      </c>
    </row>
    <row r="61" spans="1:13" ht="15.75" x14ac:dyDescent="0.2">
      <c r="A61" s="6" t="s">
        <v>201</v>
      </c>
      <c r="B61" s="7" t="s">
        <v>195</v>
      </c>
      <c r="C61" s="7" t="s">
        <v>202</v>
      </c>
      <c r="D61" s="7" t="s">
        <v>203</v>
      </c>
      <c r="E61" s="7" t="s">
        <v>198</v>
      </c>
      <c r="F61" s="7">
        <v>3</v>
      </c>
      <c r="G61" s="8" t="s">
        <v>18</v>
      </c>
      <c r="H61" s="7" t="s">
        <v>19</v>
      </c>
      <c r="I61" s="7"/>
      <c r="J61" s="7"/>
      <c r="K61" s="7"/>
      <c r="L61" s="7"/>
      <c r="M61" s="9">
        <f t="shared" si="0"/>
        <v>0</v>
      </c>
    </row>
    <row r="62" spans="1:13" ht="15.75" x14ac:dyDescent="0.2">
      <c r="A62" s="6" t="s">
        <v>204</v>
      </c>
      <c r="B62" s="7" t="s">
        <v>195</v>
      </c>
      <c r="C62" s="7" t="s">
        <v>205</v>
      </c>
      <c r="D62" s="7" t="s">
        <v>206</v>
      </c>
      <c r="E62" s="7" t="s">
        <v>201</v>
      </c>
      <c r="F62" s="7">
        <v>2</v>
      </c>
      <c r="G62" s="11" t="s">
        <v>43</v>
      </c>
      <c r="H62" s="7" t="s">
        <v>19</v>
      </c>
      <c r="I62" s="7"/>
      <c r="J62" s="7"/>
      <c r="K62" s="7"/>
      <c r="L62" s="7"/>
      <c r="M62" s="9">
        <f t="shared" si="0"/>
        <v>0</v>
      </c>
    </row>
    <row r="63" spans="1:13" ht="15.75" x14ac:dyDescent="0.2">
      <c r="A63" s="6" t="s">
        <v>207</v>
      </c>
      <c r="B63" s="7" t="s">
        <v>195</v>
      </c>
      <c r="C63" s="7" t="s">
        <v>208</v>
      </c>
      <c r="D63" s="7" t="s">
        <v>209</v>
      </c>
      <c r="E63" s="7" t="s">
        <v>204</v>
      </c>
      <c r="F63" s="7">
        <v>2</v>
      </c>
      <c r="G63" s="10" t="s">
        <v>26</v>
      </c>
      <c r="H63" s="7" t="s">
        <v>19</v>
      </c>
      <c r="I63" s="7"/>
      <c r="J63" s="7"/>
      <c r="K63" s="7"/>
      <c r="L63" s="7"/>
      <c r="M63" s="9">
        <f t="shared" si="0"/>
        <v>0</v>
      </c>
    </row>
    <row r="64" spans="1:13" ht="15.75" x14ac:dyDescent="0.2">
      <c r="A64" s="6" t="s">
        <v>210</v>
      </c>
      <c r="B64" s="7" t="s">
        <v>195</v>
      </c>
      <c r="C64" s="7" t="s">
        <v>211</v>
      </c>
      <c r="D64" s="7" t="s">
        <v>212</v>
      </c>
      <c r="E64" s="7" t="s">
        <v>207</v>
      </c>
      <c r="F64" s="7">
        <v>2</v>
      </c>
      <c r="G64" s="10" t="s">
        <v>26</v>
      </c>
      <c r="H64" s="7" t="s">
        <v>19</v>
      </c>
      <c r="I64" s="7"/>
      <c r="J64" s="7"/>
      <c r="K64" s="7"/>
      <c r="L64" s="7"/>
      <c r="M64" s="9">
        <f t="shared" si="0"/>
        <v>0</v>
      </c>
    </row>
    <row r="65" spans="1:13" ht="15.75" x14ac:dyDescent="0.2">
      <c r="A65" s="6" t="s">
        <v>213</v>
      </c>
      <c r="B65" s="7" t="s">
        <v>214</v>
      </c>
      <c r="C65" s="7" t="s">
        <v>215</v>
      </c>
      <c r="D65" s="7" t="s">
        <v>216</v>
      </c>
      <c r="E65" s="7" t="s">
        <v>210</v>
      </c>
      <c r="F65" s="7">
        <v>2</v>
      </c>
      <c r="G65" s="10" t="s">
        <v>26</v>
      </c>
      <c r="H65" s="7" t="s">
        <v>19</v>
      </c>
      <c r="I65" s="7"/>
      <c r="J65" s="7"/>
      <c r="K65" s="7"/>
      <c r="L65" s="7"/>
      <c r="M65" s="9">
        <f t="shared" si="0"/>
        <v>0</v>
      </c>
    </row>
    <row r="66" spans="1:13" ht="15.75" x14ac:dyDescent="0.2">
      <c r="A66" s="6" t="s">
        <v>217</v>
      </c>
      <c r="B66" s="7" t="s">
        <v>214</v>
      </c>
      <c r="C66" s="7" t="s">
        <v>218</v>
      </c>
      <c r="D66" s="7" t="s">
        <v>219</v>
      </c>
      <c r="E66" s="7" t="s">
        <v>213</v>
      </c>
      <c r="F66" s="7">
        <v>2</v>
      </c>
      <c r="G66" s="11" t="s">
        <v>43</v>
      </c>
      <c r="H66" s="7" t="s">
        <v>19</v>
      </c>
      <c r="I66" s="7"/>
      <c r="J66" s="7"/>
      <c r="K66" s="7"/>
      <c r="L66" s="7"/>
      <c r="M66" s="9">
        <f t="shared" si="0"/>
        <v>0</v>
      </c>
    </row>
    <row r="67" spans="1:13" ht="15.75" x14ac:dyDescent="0.2">
      <c r="A67" s="6" t="s">
        <v>220</v>
      </c>
      <c r="B67" s="7" t="s">
        <v>214</v>
      </c>
      <c r="C67" s="7" t="s">
        <v>221</v>
      </c>
      <c r="D67" s="7" t="s">
        <v>222</v>
      </c>
      <c r="E67" s="7" t="s">
        <v>217</v>
      </c>
      <c r="F67" s="7">
        <v>2</v>
      </c>
      <c r="G67" s="10" t="s">
        <v>26</v>
      </c>
      <c r="H67" s="7" t="s">
        <v>19</v>
      </c>
      <c r="I67" s="7"/>
      <c r="J67" s="7"/>
      <c r="K67" s="7"/>
      <c r="L67" s="7"/>
      <c r="M67" s="9">
        <f t="shared" ref="M67:M83" si="1">IF(H67="Completed",1/91,0)</f>
        <v>0</v>
      </c>
    </row>
    <row r="68" spans="1:13" ht="15.75" x14ac:dyDescent="0.2">
      <c r="A68" s="6" t="s">
        <v>223</v>
      </c>
      <c r="B68" s="7" t="s">
        <v>214</v>
      </c>
      <c r="C68" s="7" t="s">
        <v>224</v>
      </c>
      <c r="D68" s="7" t="s">
        <v>225</v>
      </c>
      <c r="E68" s="7" t="s">
        <v>220</v>
      </c>
      <c r="F68" s="7">
        <v>1</v>
      </c>
      <c r="G68" s="11" t="s">
        <v>43</v>
      </c>
      <c r="H68" s="7" t="s">
        <v>19</v>
      </c>
      <c r="I68" s="7"/>
      <c r="J68" s="7"/>
      <c r="K68" s="7"/>
      <c r="L68" s="7"/>
      <c r="M68" s="9">
        <f t="shared" si="1"/>
        <v>0</v>
      </c>
    </row>
    <row r="69" spans="1:13" ht="15.75" x14ac:dyDescent="0.2">
      <c r="A69" s="6" t="s">
        <v>226</v>
      </c>
      <c r="B69" s="7" t="s">
        <v>214</v>
      </c>
      <c r="C69" s="7" t="s">
        <v>227</v>
      </c>
      <c r="D69" s="7" t="s">
        <v>228</v>
      </c>
      <c r="E69" s="7" t="s">
        <v>223</v>
      </c>
      <c r="F69" s="7">
        <v>2</v>
      </c>
      <c r="G69" s="11" t="s">
        <v>43</v>
      </c>
      <c r="H69" s="7" t="s">
        <v>19</v>
      </c>
      <c r="I69" s="7"/>
      <c r="J69" s="7"/>
      <c r="K69" s="7"/>
      <c r="L69" s="7"/>
      <c r="M69" s="9">
        <f t="shared" si="1"/>
        <v>0</v>
      </c>
    </row>
    <row r="70" spans="1:13" ht="15.75" x14ac:dyDescent="0.2">
      <c r="A70" s="6" t="s">
        <v>229</v>
      </c>
      <c r="B70" s="7" t="s">
        <v>214</v>
      </c>
      <c r="C70" s="7" t="s">
        <v>230</v>
      </c>
      <c r="D70" s="7" t="s">
        <v>231</v>
      </c>
      <c r="E70" s="7" t="s">
        <v>226</v>
      </c>
      <c r="F70" s="7">
        <v>3</v>
      </c>
      <c r="G70" s="12" t="s">
        <v>108</v>
      </c>
      <c r="H70" s="7" t="s">
        <v>19</v>
      </c>
      <c r="I70" s="7"/>
      <c r="J70" s="7"/>
      <c r="K70" s="7"/>
      <c r="L70" s="7"/>
      <c r="M70" s="9">
        <f t="shared" si="1"/>
        <v>0</v>
      </c>
    </row>
    <row r="71" spans="1:13" ht="15.75" x14ac:dyDescent="0.2">
      <c r="A71" s="6" t="s">
        <v>232</v>
      </c>
      <c r="B71" s="7" t="s">
        <v>214</v>
      </c>
      <c r="C71" s="7" t="s">
        <v>233</v>
      </c>
      <c r="D71" s="7" t="s">
        <v>234</v>
      </c>
      <c r="E71" s="7" t="s">
        <v>229</v>
      </c>
      <c r="F71" s="7">
        <v>4</v>
      </c>
      <c r="G71" s="11" t="s">
        <v>43</v>
      </c>
      <c r="H71" s="7" t="s">
        <v>19</v>
      </c>
      <c r="I71" s="7"/>
      <c r="J71" s="7"/>
      <c r="K71" s="7"/>
      <c r="L71" s="7"/>
      <c r="M71" s="9">
        <f t="shared" si="1"/>
        <v>0</v>
      </c>
    </row>
    <row r="72" spans="1:13" ht="15.75" x14ac:dyDescent="0.2">
      <c r="A72" s="6" t="s">
        <v>235</v>
      </c>
      <c r="B72" s="7" t="s">
        <v>236</v>
      </c>
      <c r="C72" s="7" t="s">
        <v>237</v>
      </c>
      <c r="D72" s="7" t="s">
        <v>238</v>
      </c>
      <c r="E72" s="7" t="s">
        <v>232</v>
      </c>
      <c r="F72" s="7">
        <v>3</v>
      </c>
      <c r="G72" s="10" t="s">
        <v>26</v>
      </c>
      <c r="H72" s="7" t="s">
        <v>19</v>
      </c>
      <c r="I72" s="7"/>
      <c r="J72" s="7"/>
      <c r="K72" s="7"/>
      <c r="L72" s="7"/>
      <c r="M72" s="9">
        <f t="shared" si="1"/>
        <v>0</v>
      </c>
    </row>
    <row r="73" spans="1:13" ht="15.75" x14ac:dyDescent="0.2">
      <c r="A73" s="6" t="s">
        <v>239</v>
      </c>
      <c r="B73" s="7" t="s">
        <v>236</v>
      </c>
      <c r="C73" s="7" t="s">
        <v>106</v>
      </c>
      <c r="D73" s="7" t="s">
        <v>240</v>
      </c>
      <c r="E73" s="7" t="s">
        <v>235</v>
      </c>
      <c r="F73" s="7">
        <v>2</v>
      </c>
      <c r="G73" s="10" t="s">
        <v>26</v>
      </c>
      <c r="H73" s="7" t="s">
        <v>19</v>
      </c>
      <c r="I73" s="7"/>
      <c r="J73" s="7"/>
      <c r="K73" s="7"/>
      <c r="L73" s="7"/>
      <c r="M73" s="9">
        <f t="shared" si="1"/>
        <v>0</v>
      </c>
    </row>
    <row r="74" spans="1:13" ht="15.75" x14ac:dyDescent="0.2">
      <c r="A74" s="6" t="s">
        <v>241</v>
      </c>
      <c r="B74" s="7" t="s">
        <v>236</v>
      </c>
      <c r="C74" s="7" t="s">
        <v>242</v>
      </c>
      <c r="D74" s="7" t="s">
        <v>243</v>
      </c>
      <c r="E74" s="7" t="s">
        <v>239</v>
      </c>
      <c r="F74" s="7">
        <v>3</v>
      </c>
      <c r="G74" s="11" t="s">
        <v>43</v>
      </c>
      <c r="H74" s="7" t="s">
        <v>19</v>
      </c>
      <c r="I74" s="7"/>
      <c r="J74" s="7"/>
      <c r="K74" s="7"/>
      <c r="L74" s="7"/>
      <c r="M74" s="9">
        <f t="shared" si="1"/>
        <v>0</v>
      </c>
    </row>
    <row r="75" spans="1:13" ht="15.75" x14ac:dyDescent="0.2">
      <c r="A75" s="6" t="s">
        <v>244</v>
      </c>
      <c r="B75" s="7" t="s">
        <v>236</v>
      </c>
      <c r="C75" s="7" t="s">
        <v>245</v>
      </c>
      <c r="D75" s="7" t="s">
        <v>246</v>
      </c>
      <c r="E75" s="7" t="s">
        <v>241</v>
      </c>
      <c r="F75" s="7">
        <v>2</v>
      </c>
      <c r="G75" s="10" t="s">
        <v>26</v>
      </c>
      <c r="H75" s="7" t="s">
        <v>19</v>
      </c>
      <c r="I75" s="7"/>
      <c r="J75" s="7"/>
      <c r="K75" s="7"/>
      <c r="L75" s="7"/>
      <c r="M75" s="9">
        <f t="shared" si="1"/>
        <v>0</v>
      </c>
    </row>
    <row r="76" spans="1:13" ht="15.75" x14ac:dyDescent="0.2">
      <c r="A76" s="6" t="s">
        <v>247</v>
      </c>
      <c r="B76" s="7" t="s">
        <v>236</v>
      </c>
      <c r="C76" s="7" t="s">
        <v>248</v>
      </c>
      <c r="D76" s="7" t="s">
        <v>249</v>
      </c>
      <c r="E76" s="7" t="s">
        <v>244</v>
      </c>
      <c r="F76" s="7">
        <v>1</v>
      </c>
      <c r="G76" s="10" t="s">
        <v>26</v>
      </c>
      <c r="H76" s="7" t="s">
        <v>19</v>
      </c>
      <c r="I76" s="7"/>
      <c r="J76" s="7"/>
      <c r="K76" s="7"/>
      <c r="L76" s="7"/>
      <c r="M76" s="9">
        <f t="shared" si="1"/>
        <v>0</v>
      </c>
    </row>
    <row r="77" spans="1:13" ht="15.75" x14ac:dyDescent="0.2">
      <c r="A77" s="6" t="s">
        <v>250</v>
      </c>
      <c r="B77" s="7" t="s">
        <v>251</v>
      </c>
      <c r="C77" s="7" t="s">
        <v>252</v>
      </c>
      <c r="D77" s="7" t="s">
        <v>253</v>
      </c>
      <c r="E77" s="7" t="s">
        <v>247</v>
      </c>
      <c r="F77" s="7">
        <v>4</v>
      </c>
      <c r="G77" s="8" t="s">
        <v>18</v>
      </c>
      <c r="H77" s="7" t="s">
        <v>19</v>
      </c>
      <c r="I77" s="7"/>
      <c r="J77" s="7"/>
      <c r="K77" s="7"/>
      <c r="L77" s="7"/>
      <c r="M77" s="9">
        <f t="shared" si="1"/>
        <v>0</v>
      </c>
    </row>
    <row r="78" spans="1:13" ht="15.75" x14ac:dyDescent="0.2">
      <c r="A78" s="6" t="s">
        <v>254</v>
      </c>
      <c r="B78" s="7" t="s">
        <v>251</v>
      </c>
      <c r="C78" s="7" t="s">
        <v>255</v>
      </c>
      <c r="D78" s="7" t="s">
        <v>256</v>
      </c>
      <c r="E78" s="7" t="s">
        <v>250</v>
      </c>
      <c r="F78" s="7">
        <v>3</v>
      </c>
      <c r="G78" s="10" t="s">
        <v>26</v>
      </c>
      <c r="H78" s="7" t="s">
        <v>19</v>
      </c>
      <c r="I78" s="7"/>
      <c r="J78" s="7"/>
      <c r="K78" s="7"/>
      <c r="L78" s="7"/>
      <c r="M78" s="9">
        <f t="shared" si="1"/>
        <v>0</v>
      </c>
    </row>
    <row r="79" spans="1:13" ht="15.75" x14ac:dyDescent="0.2">
      <c r="A79" s="6" t="s">
        <v>257</v>
      </c>
      <c r="B79" s="7" t="s">
        <v>251</v>
      </c>
      <c r="C79" s="7" t="s">
        <v>258</v>
      </c>
      <c r="D79" s="7" t="s">
        <v>259</v>
      </c>
      <c r="E79" s="7" t="s">
        <v>254</v>
      </c>
      <c r="F79" s="7">
        <v>3</v>
      </c>
      <c r="G79" s="10" t="s">
        <v>26</v>
      </c>
      <c r="H79" s="7" t="s">
        <v>19</v>
      </c>
      <c r="I79" s="7"/>
      <c r="J79" s="7"/>
      <c r="K79" s="7"/>
      <c r="L79" s="7"/>
      <c r="M79" s="9">
        <f t="shared" si="1"/>
        <v>0</v>
      </c>
    </row>
    <row r="80" spans="1:13" ht="15.75" x14ac:dyDescent="0.2">
      <c r="A80" s="6" t="s">
        <v>260</v>
      </c>
      <c r="B80" s="7" t="s">
        <v>251</v>
      </c>
      <c r="C80" s="7" t="s">
        <v>261</v>
      </c>
      <c r="D80" s="7" t="s">
        <v>262</v>
      </c>
      <c r="E80" s="7" t="s">
        <v>257</v>
      </c>
      <c r="F80" s="7">
        <v>4</v>
      </c>
      <c r="G80" s="10" t="s">
        <v>26</v>
      </c>
      <c r="H80" s="7" t="s">
        <v>19</v>
      </c>
      <c r="I80" s="7"/>
      <c r="J80" s="7"/>
      <c r="K80" s="7"/>
      <c r="L80" s="7"/>
      <c r="M80" s="9">
        <f t="shared" si="1"/>
        <v>0</v>
      </c>
    </row>
    <row r="81" spans="1:13" ht="15.75" x14ac:dyDescent="0.2">
      <c r="A81" s="6" t="s">
        <v>263</v>
      </c>
      <c r="B81" s="7" t="s">
        <v>264</v>
      </c>
      <c r="C81" s="7" t="s">
        <v>265</v>
      </c>
      <c r="D81" s="7" t="s">
        <v>266</v>
      </c>
      <c r="E81" s="7" t="s">
        <v>260</v>
      </c>
      <c r="F81" s="7">
        <v>4</v>
      </c>
      <c r="G81" s="8" t="s">
        <v>18</v>
      </c>
      <c r="H81" s="7" t="s">
        <v>19</v>
      </c>
      <c r="I81" s="7"/>
      <c r="J81" s="7"/>
      <c r="K81" s="7"/>
      <c r="L81" s="7"/>
      <c r="M81" s="9">
        <f t="shared" si="1"/>
        <v>0</v>
      </c>
    </row>
    <row r="82" spans="1:13" ht="15.75" x14ac:dyDescent="0.2">
      <c r="A82" s="6" t="s">
        <v>267</v>
      </c>
      <c r="B82" s="7" t="s">
        <v>264</v>
      </c>
      <c r="C82" s="7" t="s">
        <v>268</v>
      </c>
      <c r="D82" s="7" t="s">
        <v>269</v>
      </c>
      <c r="E82" s="7" t="s">
        <v>263</v>
      </c>
      <c r="F82" s="7">
        <v>2</v>
      </c>
      <c r="G82" s="8" t="s">
        <v>18</v>
      </c>
      <c r="H82" s="7" t="s">
        <v>19</v>
      </c>
      <c r="I82" s="7"/>
      <c r="J82" s="7"/>
      <c r="K82" s="7"/>
      <c r="L82" s="7"/>
      <c r="M82" s="9">
        <f t="shared" si="1"/>
        <v>0</v>
      </c>
    </row>
    <row r="83" spans="1:13" ht="15.75" x14ac:dyDescent="0.2">
      <c r="A83" s="13" t="s">
        <v>270</v>
      </c>
      <c r="B83" s="14" t="s">
        <v>264</v>
      </c>
      <c r="C83" s="14" t="s">
        <v>271</v>
      </c>
      <c r="D83" s="14" t="s">
        <v>272</v>
      </c>
      <c r="E83" s="14" t="s">
        <v>267</v>
      </c>
      <c r="F83" s="14">
        <v>2</v>
      </c>
      <c r="G83" s="15" t="s">
        <v>26</v>
      </c>
      <c r="H83" s="14" t="s">
        <v>19</v>
      </c>
      <c r="I83" s="14"/>
      <c r="J83" s="14"/>
      <c r="K83" s="14"/>
      <c r="L83" s="14"/>
      <c r="M83" s="16">
        <f t="shared" si="1"/>
        <v>0</v>
      </c>
    </row>
  </sheetData>
  <conditionalFormatting sqref="H2:H20">
    <cfRule type="cellIs" dxfId="0" priority="1" operator="equal">
      <formula>"Completed"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1CE1-C9ED-4EFD-AF07-6C65E1659FA1}">
  <dimension ref="A1:A16"/>
  <sheetViews>
    <sheetView workbookViewId="0">
      <selection activeCell="D21" sqref="D21"/>
    </sheetView>
  </sheetViews>
  <sheetFormatPr defaultRowHeight="14.25" x14ac:dyDescent="0.2"/>
  <cols>
    <col min="1" max="1" width="31.25" style="1" customWidth="1"/>
  </cols>
  <sheetData>
    <row r="1" spans="1:1" x14ac:dyDescent="0.2">
      <c r="A1" s="1" t="s">
        <v>7</v>
      </c>
    </row>
    <row r="2" spans="1:1" ht="18" x14ac:dyDescent="0.2">
      <c r="A2" s="2" t="s">
        <v>273</v>
      </c>
    </row>
    <row r="3" spans="1:1" ht="18" x14ac:dyDescent="0.2">
      <c r="A3" s="2" t="s">
        <v>274</v>
      </c>
    </row>
    <row r="4" spans="1:1" ht="18" x14ac:dyDescent="0.2">
      <c r="A4" s="2"/>
    </row>
    <row r="5" spans="1:1" ht="18" x14ac:dyDescent="0.2">
      <c r="A5" s="2" t="s">
        <v>275</v>
      </c>
    </row>
    <row r="6" spans="1:1" ht="18" x14ac:dyDescent="0.2">
      <c r="A6" s="2" t="s">
        <v>285</v>
      </c>
    </row>
    <row r="7" spans="1:1" ht="18" x14ac:dyDescent="0.2">
      <c r="A7" s="2" t="s">
        <v>1</v>
      </c>
    </row>
    <row r="8" spans="1:1" ht="18" x14ac:dyDescent="0.2">
      <c r="A8" s="2" t="s">
        <v>276</v>
      </c>
    </row>
    <row r="9" spans="1:1" ht="18" x14ac:dyDescent="0.2">
      <c r="A9" s="2" t="s">
        <v>277</v>
      </c>
    </row>
    <row r="10" spans="1:1" ht="18" x14ac:dyDescent="0.2">
      <c r="A10" s="2" t="s">
        <v>278</v>
      </c>
    </row>
    <row r="11" spans="1:1" ht="18" x14ac:dyDescent="0.2">
      <c r="A11" s="2" t="s">
        <v>279</v>
      </c>
    </row>
    <row r="12" spans="1:1" ht="18" x14ac:dyDescent="0.2">
      <c r="A12" s="2" t="s">
        <v>280</v>
      </c>
    </row>
    <row r="13" spans="1:1" ht="18" x14ac:dyDescent="0.2">
      <c r="A13" s="2" t="s">
        <v>281</v>
      </c>
    </row>
    <row r="14" spans="1:1" ht="18" x14ac:dyDescent="0.2">
      <c r="A14" s="2" t="s">
        <v>282</v>
      </c>
    </row>
    <row r="15" spans="1:1" ht="18" x14ac:dyDescent="0.2">
      <c r="A15" s="2" t="s">
        <v>283</v>
      </c>
    </row>
    <row r="16" spans="1:1" ht="18" x14ac:dyDescent="0.2">
      <c r="A16" s="2" t="s">
        <v>284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SAJAD SAEEDI</cp:lastModifiedBy>
  <dcterms:created xsi:type="dcterms:W3CDTF">2025-10-30T18:18:35Z</dcterms:created>
  <dcterms:modified xsi:type="dcterms:W3CDTF">2025-10-31T22:15:53Z</dcterms:modified>
</cp:coreProperties>
</file>